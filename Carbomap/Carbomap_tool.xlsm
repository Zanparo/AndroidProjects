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00000000-0000-0000-0000-000000000000}"/>
  <workbookPr codeName="ThisWorkbook" hidePivotFieldList="1"/>
  <mc:AlternateContent xmlns:mc="http://schemas.openxmlformats.org/markup-compatibility/2006">
    <mc:Choice Requires="x15">
      <x15ac:absPath xmlns:x15ac="http://schemas.microsoft.com/office/spreadsheetml/2010/11/ac" url="/Users/samfleming/Documents/Carbomap/Projects/FC Decision Support/Client Docs/"/>
    </mc:Choice>
  </mc:AlternateContent>
  <bookViews>
    <workbookView xWindow="7160" yWindow="1020" windowWidth="34220" windowHeight="22820" tabRatio="500" activeTab="1"/>
  </bookViews>
  <sheets>
    <sheet name="Introduction &amp; Information" sheetId="7" r:id="rId1"/>
    <sheet name="Data Input" sheetId="3" r:id="rId2"/>
    <sheet name="Results" sheetId="5" r:id="rId3"/>
    <sheet name="Summary" sheetId="6" r:id="rId4"/>
    <sheet name="Data Table" sheetId="2" r:id="rId5"/>
    <sheet name="Calculation Table" sheetId="1" r:id="rId6"/>
    <sheet name="Dropdowns" sheetId="4" r:id="rId7"/>
  </sheets>
  <definedNames>
    <definedName name="_xlnm._FilterDatabase" localSheetId="1" hidden="1">Results!$A$1:$N$14</definedName>
    <definedName name="_xlnm._FilterDatabase" localSheetId="2" hidden="1">Results!$A$1:$P$19</definedName>
    <definedName name="_xlnm._FilterDatabase" localSheetId="3" hidden="1">Summary!$A$5:$O$23</definedName>
    <definedName name="AccessDiseaseoutbreak">Dropdowns!$H$6:$H$11</definedName>
    <definedName name="AccessStormEvent">Dropdowns!$H$2:$H$5</definedName>
    <definedName name="AccessWoodlandCarbonCodeMonitoring">Dropdowns!$H$12:$H$17</definedName>
    <definedName name="Flexibility">Dropdowns!$D$25:$D$29</definedName>
    <definedName name="FrequencyDiseaseOutbreak">Dropdowns!$K$4:$K$5</definedName>
    <definedName name="FrequencyStormEvent">Dropdowns!$K$2:$K$3</definedName>
    <definedName name="FrequencyWoodlandCarbonCodeMonitoring">Dropdowns!$K$6:$K$11</definedName>
    <definedName name="FutureDataDiseaseoutbreak">Dropdowns!$E$7:$E$14</definedName>
    <definedName name="FutureDataStormevent">Dropdowns!$E$2:$E$6</definedName>
    <definedName name="FutureDataWoodlandCarbonCodemonitoring">Dropdowns!$E$15:$E$22</definedName>
    <definedName name="PastDataDiseaseOutbreak">Dropdowns!$B$8:$B$13</definedName>
    <definedName name="PastDataStormEvent">Dropdowns!$B$2:$B$7</definedName>
    <definedName name="PastDataWoodlandCarbonCodemonitoring">Dropdowns!$B$14:$B$18</definedName>
    <definedName name="Priorities">Dropdowns!$A$25:$A$28</definedName>
    <definedName name="Scenarios">'Data Table'!$A$27:$A$30</definedName>
    <definedName name="SpatialResolutionDiseaseoutbreak">Dropdowns!$N$8:$N$13</definedName>
    <definedName name="SpatialResolutionStormEvent">Dropdowns!$N$2:$N$7</definedName>
    <definedName name="SpatialResolutionWoodlandCarbonCodemonitoring">Dropdowns!$N$14:$N$16</definedName>
    <definedName name="StormEventResolution">Dropdowns!$N$2:$N$7</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Q90" i="1" l="1"/>
  <c r="P90" i="1"/>
  <c r="O90" i="1"/>
  <c r="R90" i="1"/>
  <c r="C21" i="2"/>
  <c r="B21" i="2"/>
  <c r="B23" i="2"/>
  <c r="B8" i="2"/>
  <c r="C114" i="1"/>
  <c r="D8" i="2"/>
  <c r="E114" i="1"/>
  <c r="D55" i="1"/>
  <c r="D56" i="1"/>
  <c r="D57" i="1"/>
  <c r="D58" i="1"/>
  <c r="F55" i="1"/>
  <c r="C8" i="2"/>
  <c r="D114" i="1"/>
  <c r="E55" i="1"/>
  <c r="G55" i="1"/>
  <c r="AA55" i="1"/>
  <c r="F56" i="1"/>
  <c r="E56" i="1"/>
  <c r="G56" i="1"/>
  <c r="AA56" i="1"/>
  <c r="F57" i="1"/>
  <c r="E57" i="1"/>
  <c r="G57" i="1"/>
  <c r="AA57" i="1"/>
  <c r="F58" i="1"/>
  <c r="E58" i="1"/>
  <c r="G58" i="1"/>
  <c r="AA58" i="1"/>
  <c r="AA59" i="1"/>
  <c r="B10" i="2"/>
  <c r="C22" i="2"/>
  <c r="B22" i="2"/>
  <c r="B24" i="2"/>
  <c r="B9" i="2"/>
  <c r="C115" i="1"/>
  <c r="D9" i="2"/>
  <c r="E115" i="1"/>
  <c r="D61" i="1"/>
  <c r="D62" i="1"/>
  <c r="D63" i="1"/>
  <c r="D64" i="1"/>
  <c r="F61" i="1"/>
  <c r="C9" i="2"/>
  <c r="D115" i="1"/>
  <c r="E61" i="1"/>
  <c r="G61" i="1"/>
  <c r="AA61" i="1"/>
  <c r="F62" i="1"/>
  <c r="E62" i="1"/>
  <c r="G62" i="1"/>
  <c r="AA62" i="1"/>
  <c r="F63" i="1"/>
  <c r="E63" i="1"/>
  <c r="G63" i="1"/>
  <c r="AA63" i="1"/>
  <c r="F64" i="1"/>
  <c r="E64" i="1"/>
  <c r="G64" i="1"/>
  <c r="AA64" i="1"/>
  <c r="AA65" i="1"/>
  <c r="H67" i="1"/>
  <c r="K2" i="6"/>
  <c r="K19" i="6"/>
  <c r="C3" i="2"/>
  <c r="D109" i="1"/>
  <c r="B3" i="2"/>
  <c r="C109" i="1"/>
  <c r="D3" i="2"/>
  <c r="E109" i="1"/>
  <c r="E3" i="1"/>
  <c r="G3" i="1"/>
  <c r="AR3" i="1"/>
  <c r="D4" i="1"/>
  <c r="D5" i="1"/>
  <c r="D6" i="1"/>
  <c r="D7" i="1"/>
  <c r="D8" i="1"/>
  <c r="D9" i="1"/>
  <c r="D10" i="1"/>
  <c r="D11" i="1"/>
  <c r="F4" i="1"/>
  <c r="E4" i="1"/>
  <c r="G4" i="1"/>
  <c r="AR4" i="1"/>
  <c r="F5" i="1"/>
  <c r="E5" i="1"/>
  <c r="G5" i="1"/>
  <c r="AR5" i="1"/>
  <c r="F6" i="1"/>
  <c r="E6" i="1"/>
  <c r="G6" i="1"/>
  <c r="AR6" i="1"/>
  <c r="F7" i="1"/>
  <c r="E7" i="1"/>
  <c r="G7" i="1"/>
  <c r="AR7" i="1"/>
  <c r="F8" i="1"/>
  <c r="E8" i="1"/>
  <c r="G8" i="1"/>
  <c r="AR8" i="1"/>
  <c r="F9" i="1"/>
  <c r="E9" i="1"/>
  <c r="G9" i="1"/>
  <c r="AR9" i="1"/>
  <c r="F10" i="1"/>
  <c r="E10" i="1"/>
  <c r="G10" i="1"/>
  <c r="AR10" i="1"/>
  <c r="F11" i="1"/>
  <c r="E11" i="1"/>
  <c r="G11" i="1"/>
  <c r="AR11" i="1"/>
  <c r="AR12" i="1"/>
  <c r="G12" i="1"/>
  <c r="F145" i="1"/>
  <c r="B18" i="2"/>
  <c r="C18" i="2"/>
  <c r="B88" i="1"/>
  <c r="B90" i="1"/>
  <c r="B93" i="1"/>
  <c r="B95" i="1"/>
  <c r="B96" i="1"/>
  <c r="H93" i="1"/>
  <c r="H95" i="1"/>
  <c r="H96" i="1"/>
  <c r="I95" i="1"/>
  <c r="I96" i="1"/>
  <c r="J95" i="1"/>
  <c r="J96" i="1"/>
  <c r="K95" i="1"/>
  <c r="K96" i="1"/>
  <c r="L93" i="1"/>
  <c r="L95" i="1"/>
  <c r="L96" i="1"/>
  <c r="M95" i="1"/>
  <c r="M96" i="1"/>
  <c r="N93" i="1"/>
  <c r="N95" i="1"/>
  <c r="N96" i="1"/>
  <c r="O93" i="1"/>
  <c r="O95" i="1"/>
  <c r="O96" i="1"/>
  <c r="P93" i="1"/>
  <c r="P95" i="1"/>
  <c r="P96" i="1"/>
  <c r="Q93" i="1"/>
  <c r="Q95" i="1"/>
  <c r="Q96" i="1"/>
  <c r="R93" i="1"/>
  <c r="R95" i="1"/>
  <c r="R96" i="1"/>
  <c r="S93" i="1"/>
  <c r="S95" i="1"/>
  <c r="S96" i="1"/>
  <c r="T93" i="1"/>
  <c r="T95" i="1"/>
  <c r="T96" i="1"/>
  <c r="U93" i="1"/>
  <c r="U95" i="1"/>
  <c r="U96" i="1"/>
  <c r="V96" i="1"/>
  <c r="W93" i="1"/>
  <c r="W96" i="1"/>
  <c r="X93" i="1"/>
  <c r="X96" i="1"/>
  <c r="Y93" i="1"/>
  <c r="Y96" i="1"/>
  <c r="AR94" i="1"/>
  <c r="C96" i="1"/>
  <c r="B19" i="2"/>
  <c r="D108" i="1"/>
  <c r="G96" i="1"/>
  <c r="B20" i="2"/>
  <c r="E108" i="1"/>
  <c r="E96" i="1"/>
  <c r="F96" i="1"/>
  <c r="AR95" i="1"/>
  <c r="AR96" i="1"/>
  <c r="AR55" i="1"/>
  <c r="AR56" i="1"/>
  <c r="AR57" i="1"/>
  <c r="AR58" i="1"/>
  <c r="AR59" i="1"/>
  <c r="AR61" i="1"/>
  <c r="AR62" i="1"/>
  <c r="AR63" i="1"/>
  <c r="AR64" i="1"/>
  <c r="AR65" i="1"/>
  <c r="Y67" i="1"/>
  <c r="AR98" i="1"/>
  <c r="D6" i="2"/>
  <c r="E112" i="1"/>
  <c r="B6" i="2"/>
  <c r="C112" i="1"/>
  <c r="D35" i="1"/>
  <c r="D36" i="1"/>
  <c r="D37" i="1"/>
  <c r="D38" i="1"/>
  <c r="D39" i="1"/>
  <c r="D40" i="1"/>
  <c r="D41" i="1"/>
  <c r="D42" i="1"/>
  <c r="D43" i="1"/>
  <c r="D44" i="1"/>
  <c r="F35" i="1"/>
  <c r="C6" i="2"/>
  <c r="D112" i="1"/>
  <c r="E35" i="1"/>
  <c r="G35" i="1"/>
  <c r="AR35" i="1"/>
  <c r="F36" i="1"/>
  <c r="E36" i="1"/>
  <c r="G36" i="1"/>
  <c r="AR36" i="1"/>
  <c r="F37" i="1"/>
  <c r="E37" i="1"/>
  <c r="G37" i="1"/>
  <c r="AR37" i="1"/>
  <c r="F38" i="1"/>
  <c r="E38" i="1"/>
  <c r="G38" i="1"/>
  <c r="AR38" i="1"/>
  <c r="F39" i="1"/>
  <c r="E39" i="1"/>
  <c r="G39" i="1"/>
  <c r="AR39" i="1"/>
  <c r="F40" i="1"/>
  <c r="E40" i="1"/>
  <c r="G40" i="1"/>
  <c r="AR40" i="1"/>
  <c r="F41" i="1"/>
  <c r="E41" i="1"/>
  <c r="G41" i="1"/>
  <c r="AR41" i="1"/>
  <c r="F42" i="1"/>
  <c r="E42" i="1"/>
  <c r="G42" i="1"/>
  <c r="AR42" i="1"/>
  <c r="F43" i="1"/>
  <c r="E43" i="1"/>
  <c r="G43" i="1"/>
  <c r="AR43" i="1"/>
  <c r="F44" i="1"/>
  <c r="E44" i="1"/>
  <c r="G44" i="1"/>
  <c r="AR44" i="1"/>
  <c r="AR45" i="1"/>
  <c r="D5" i="2"/>
  <c r="E111" i="1"/>
  <c r="B5" i="2"/>
  <c r="C111" i="1"/>
  <c r="D26" i="1"/>
  <c r="D27" i="1"/>
  <c r="D28" i="1"/>
  <c r="D29" i="1"/>
  <c r="D30" i="1"/>
  <c r="D31" i="1"/>
  <c r="D32" i="1"/>
  <c r="F26" i="1"/>
  <c r="C5" i="2"/>
  <c r="D111" i="1"/>
  <c r="E26" i="1"/>
  <c r="G26" i="1"/>
  <c r="AR26" i="1"/>
  <c r="F27" i="1"/>
  <c r="E27" i="1"/>
  <c r="G27" i="1"/>
  <c r="AR27" i="1"/>
  <c r="F28" i="1"/>
  <c r="E28" i="1"/>
  <c r="G28" i="1"/>
  <c r="AR28" i="1"/>
  <c r="F29" i="1"/>
  <c r="E29" i="1"/>
  <c r="G29" i="1"/>
  <c r="AR29" i="1"/>
  <c r="F30" i="1"/>
  <c r="E30" i="1"/>
  <c r="G30" i="1"/>
  <c r="AR30" i="1"/>
  <c r="F31" i="1"/>
  <c r="E31" i="1"/>
  <c r="G31" i="1"/>
  <c r="AR31" i="1"/>
  <c r="F32" i="1"/>
  <c r="E32" i="1"/>
  <c r="G32" i="1"/>
  <c r="AR32" i="1"/>
  <c r="AR33" i="1"/>
  <c r="D4" i="2"/>
  <c r="E110" i="1"/>
  <c r="C4" i="2"/>
  <c r="D110" i="1"/>
  <c r="B4" i="2"/>
  <c r="C110" i="1"/>
  <c r="E14" i="1"/>
  <c r="G14" i="1"/>
  <c r="AR14" i="1"/>
  <c r="D15" i="1"/>
  <c r="D16" i="1"/>
  <c r="D17" i="1"/>
  <c r="D18" i="1"/>
  <c r="D19" i="1"/>
  <c r="D20" i="1"/>
  <c r="D21" i="1"/>
  <c r="D22" i="1"/>
  <c r="D23" i="1"/>
  <c r="F15" i="1"/>
  <c r="E15" i="1"/>
  <c r="G15" i="1"/>
  <c r="AR15" i="1"/>
  <c r="F16" i="1"/>
  <c r="E16" i="1"/>
  <c r="G16" i="1"/>
  <c r="AR16" i="1"/>
  <c r="F17" i="1"/>
  <c r="E17" i="1"/>
  <c r="G17" i="1"/>
  <c r="AR17" i="1"/>
  <c r="F18" i="1"/>
  <c r="E18" i="1"/>
  <c r="G18" i="1"/>
  <c r="AR18" i="1"/>
  <c r="F19" i="1"/>
  <c r="E19" i="1"/>
  <c r="G19" i="1"/>
  <c r="AR19" i="1"/>
  <c r="F20" i="1"/>
  <c r="E20" i="1"/>
  <c r="G20" i="1"/>
  <c r="AR20" i="1"/>
  <c r="F21" i="1"/>
  <c r="E21" i="1"/>
  <c r="G21" i="1"/>
  <c r="AR21" i="1"/>
  <c r="F22" i="1"/>
  <c r="E22" i="1"/>
  <c r="G22" i="1"/>
  <c r="AR22" i="1"/>
  <c r="F23" i="1"/>
  <c r="E23" i="1"/>
  <c r="G23" i="1"/>
  <c r="AR23" i="1"/>
  <c r="AR24" i="1"/>
  <c r="AR67" i="1"/>
  <c r="C10" i="2"/>
  <c r="D116" i="1"/>
  <c r="C116" i="1"/>
  <c r="D69" i="1"/>
  <c r="D70" i="1"/>
  <c r="D71" i="1"/>
  <c r="F69" i="1"/>
  <c r="E116" i="1"/>
  <c r="E69" i="1"/>
  <c r="G69" i="1"/>
  <c r="AR69" i="1"/>
  <c r="F70" i="1"/>
  <c r="E70" i="1"/>
  <c r="G70" i="1"/>
  <c r="AR70" i="1"/>
  <c r="F71" i="1"/>
  <c r="E71" i="1"/>
  <c r="G71" i="1"/>
  <c r="AR71" i="1"/>
  <c r="AR72" i="1"/>
  <c r="D7" i="2"/>
  <c r="E113" i="1"/>
  <c r="B7" i="2"/>
  <c r="C113" i="1"/>
  <c r="D47" i="1"/>
  <c r="D48" i="1"/>
  <c r="D49" i="1"/>
  <c r="D50" i="1"/>
  <c r="D51" i="1"/>
  <c r="F47" i="1"/>
  <c r="C7" i="2"/>
  <c r="D113" i="1"/>
  <c r="E47" i="1"/>
  <c r="G47" i="1"/>
  <c r="AR47" i="1"/>
  <c r="F48" i="1"/>
  <c r="E48" i="1"/>
  <c r="G48" i="1"/>
  <c r="AR48" i="1"/>
  <c r="F49" i="1"/>
  <c r="E49" i="1"/>
  <c r="G49" i="1"/>
  <c r="AR49" i="1"/>
  <c r="F50" i="1"/>
  <c r="E50" i="1"/>
  <c r="G50" i="1"/>
  <c r="AR50" i="1"/>
  <c r="F51" i="1"/>
  <c r="E51" i="1"/>
  <c r="G51" i="1"/>
  <c r="AR51" i="1"/>
  <c r="AR52" i="1"/>
  <c r="D11" i="2"/>
  <c r="B11" i="2"/>
  <c r="C117" i="1"/>
  <c r="E117" i="1"/>
  <c r="D74" i="1"/>
  <c r="F74" i="1"/>
  <c r="C11" i="2"/>
  <c r="D117" i="1"/>
  <c r="E74" i="1"/>
  <c r="G74" i="1"/>
  <c r="AR74" i="1"/>
  <c r="D12" i="2"/>
  <c r="B12" i="2"/>
  <c r="C118" i="1"/>
  <c r="E118" i="1"/>
  <c r="D75" i="1"/>
  <c r="F75" i="1"/>
  <c r="C12" i="2"/>
  <c r="D118" i="1"/>
  <c r="E75" i="1"/>
  <c r="G75" i="1"/>
  <c r="AR75" i="1"/>
  <c r="AR100" i="1"/>
  <c r="AQ94" i="1"/>
  <c r="AQ95" i="1"/>
  <c r="AQ96" i="1"/>
  <c r="AQ55" i="1"/>
  <c r="AQ56" i="1"/>
  <c r="AQ57" i="1"/>
  <c r="AQ58" i="1"/>
  <c r="AQ59" i="1"/>
  <c r="AQ61" i="1"/>
  <c r="AQ62" i="1"/>
  <c r="AQ63" i="1"/>
  <c r="AQ64" i="1"/>
  <c r="AQ65" i="1"/>
  <c r="X67" i="1"/>
  <c r="AQ98" i="1"/>
  <c r="AQ35" i="1"/>
  <c r="AQ36" i="1"/>
  <c r="AQ37" i="1"/>
  <c r="AQ38" i="1"/>
  <c r="AQ39" i="1"/>
  <c r="AQ40" i="1"/>
  <c r="AQ41" i="1"/>
  <c r="AQ42" i="1"/>
  <c r="AQ43" i="1"/>
  <c r="AQ44" i="1"/>
  <c r="AQ45" i="1"/>
  <c r="AQ26" i="1"/>
  <c r="AQ27" i="1"/>
  <c r="AQ28" i="1"/>
  <c r="AQ29" i="1"/>
  <c r="AQ30" i="1"/>
  <c r="AQ31" i="1"/>
  <c r="AQ32" i="1"/>
  <c r="AQ33" i="1"/>
  <c r="AQ14" i="1"/>
  <c r="AQ15" i="1"/>
  <c r="AQ16" i="1"/>
  <c r="AQ17" i="1"/>
  <c r="AQ18" i="1"/>
  <c r="AQ19" i="1"/>
  <c r="AQ20" i="1"/>
  <c r="AQ21" i="1"/>
  <c r="AQ22" i="1"/>
  <c r="AQ23" i="1"/>
  <c r="AQ24" i="1"/>
  <c r="AQ67" i="1"/>
  <c r="AQ69" i="1"/>
  <c r="AQ70" i="1"/>
  <c r="AQ71" i="1"/>
  <c r="AQ72" i="1"/>
  <c r="AQ47" i="1"/>
  <c r="AQ48" i="1"/>
  <c r="AQ49" i="1"/>
  <c r="AQ50" i="1"/>
  <c r="AQ51" i="1"/>
  <c r="AQ52" i="1"/>
  <c r="AQ74" i="1"/>
  <c r="AQ75" i="1"/>
  <c r="AQ100" i="1"/>
  <c r="AP94" i="1"/>
  <c r="AP95" i="1"/>
  <c r="AP96" i="1"/>
  <c r="AP55" i="1"/>
  <c r="AP56" i="1"/>
  <c r="AP57" i="1"/>
  <c r="AP58" i="1"/>
  <c r="AP59" i="1"/>
  <c r="AP61" i="1"/>
  <c r="AP62" i="1"/>
  <c r="AP63" i="1"/>
  <c r="AP64" i="1"/>
  <c r="AP65" i="1"/>
  <c r="W67" i="1"/>
  <c r="AP98" i="1"/>
  <c r="AP35" i="1"/>
  <c r="AP36" i="1"/>
  <c r="AP37" i="1"/>
  <c r="AP38" i="1"/>
  <c r="AP39" i="1"/>
  <c r="AP40" i="1"/>
  <c r="AP41" i="1"/>
  <c r="AP42" i="1"/>
  <c r="AP43" i="1"/>
  <c r="AP44" i="1"/>
  <c r="AP45" i="1"/>
  <c r="AP26" i="1"/>
  <c r="AP27" i="1"/>
  <c r="AP28" i="1"/>
  <c r="AP29" i="1"/>
  <c r="AP30" i="1"/>
  <c r="AP31" i="1"/>
  <c r="AP32" i="1"/>
  <c r="AP33" i="1"/>
  <c r="AP14" i="1"/>
  <c r="AP15" i="1"/>
  <c r="AP16" i="1"/>
  <c r="AP17" i="1"/>
  <c r="AP18" i="1"/>
  <c r="AP19" i="1"/>
  <c r="AP20" i="1"/>
  <c r="AP21" i="1"/>
  <c r="AP22" i="1"/>
  <c r="AP23" i="1"/>
  <c r="AP24" i="1"/>
  <c r="AP67" i="1"/>
  <c r="AP69" i="1"/>
  <c r="AP70" i="1"/>
  <c r="AP71" i="1"/>
  <c r="AP72" i="1"/>
  <c r="AP47" i="1"/>
  <c r="AP48" i="1"/>
  <c r="AP49" i="1"/>
  <c r="AP50" i="1"/>
  <c r="AP51" i="1"/>
  <c r="AP52" i="1"/>
  <c r="AP74" i="1"/>
  <c r="AP75" i="1"/>
  <c r="AP100" i="1"/>
  <c r="AO94" i="1"/>
  <c r="AO95" i="1"/>
  <c r="AO96" i="1"/>
  <c r="AO55" i="1"/>
  <c r="AO56" i="1"/>
  <c r="AO57" i="1"/>
  <c r="AO58" i="1"/>
  <c r="AO59" i="1"/>
  <c r="AO61" i="1"/>
  <c r="AO62" i="1"/>
  <c r="AO63" i="1"/>
  <c r="AO64" i="1"/>
  <c r="AO65" i="1"/>
  <c r="V67" i="1"/>
  <c r="H88" i="1"/>
  <c r="H90" i="1"/>
  <c r="H91" i="1"/>
  <c r="I90" i="1"/>
  <c r="I91" i="1"/>
  <c r="J90" i="1"/>
  <c r="J91" i="1"/>
  <c r="K90" i="1"/>
  <c r="K91" i="1"/>
  <c r="L88" i="1"/>
  <c r="L90" i="1"/>
  <c r="L91" i="1"/>
  <c r="M90" i="1"/>
  <c r="M91" i="1"/>
  <c r="N88" i="1"/>
  <c r="N90" i="1"/>
  <c r="N91" i="1"/>
  <c r="O88" i="1"/>
  <c r="O91" i="1"/>
  <c r="P88" i="1"/>
  <c r="P91" i="1"/>
  <c r="Q88" i="1"/>
  <c r="Q91" i="1"/>
  <c r="R88" i="1"/>
  <c r="R91" i="1"/>
  <c r="S88" i="1"/>
  <c r="S90" i="1"/>
  <c r="S91" i="1"/>
  <c r="T88" i="1"/>
  <c r="T90" i="1"/>
  <c r="T91" i="1"/>
  <c r="U88" i="1"/>
  <c r="U90" i="1"/>
  <c r="U91" i="1"/>
  <c r="V91" i="1"/>
  <c r="W88" i="1"/>
  <c r="W91" i="1"/>
  <c r="X88" i="1"/>
  <c r="X91" i="1"/>
  <c r="Y88" i="1"/>
  <c r="Y91" i="1"/>
  <c r="AO89" i="1"/>
  <c r="B91" i="1"/>
  <c r="C91" i="1"/>
  <c r="G91" i="1"/>
  <c r="AO90" i="1"/>
  <c r="AO91" i="1"/>
  <c r="AO98" i="1"/>
  <c r="AO35" i="1"/>
  <c r="AO36" i="1"/>
  <c r="AO37" i="1"/>
  <c r="AO38" i="1"/>
  <c r="AO39" i="1"/>
  <c r="AO40" i="1"/>
  <c r="AO41" i="1"/>
  <c r="AO42" i="1"/>
  <c r="AO43" i="1"/>
  <c r="AO44" i="1"/>
  <c r="AO45" i="1"/>
  <c r="AO26" i="1"/>
  <c r="AO27" i="1"/>
  <c r="AO28" i="1"/>
  <c r="AO29" i="1"/>
  <c r="AO30" i="1"/>
  <c r="AO31" i="1"/>
  <c r="AO32" i="1"/>
  <c r="AO33" i="1"/>
  <c r="AO14" i="1"/>
  <c r="AO15" i="1"/>
  <c r="AO16" i="1"/>
  <c r="AO17" i="1"/>
  <c r="AO18" i="1"/>
  <c r="AO19" i="1"/>
  <c r="AO20" i="1"/>
  <c r="AO21" i="1"/>
  <c r="AO22" i="1"/>
  <c r="AO23" i="1"/>
  <c r="AO24" i="1"/>
  <c r="AO67" i="1"/>
  <c r="AO69" i="1"/>
  <c r="AO70" i="1"/>
  <c r="AO71" i="1"/>
  <c r="AO72" i="1"/>
  <c r="AO47" i="1"/>
  <c r="AO48" i="1"/>
  <c r="AO49" i="1"/>
  <c r="AO50" i="1"/>
  <c r="AO51" i="1"/>
  <c r="AO52" i="1"/>
  <c r="AO74" i="1"/>
  <c r="AO75" i="1"/>
  <c r="AO100" i="1"/>
  <c r="AN94" i="1"/>
  <c r="AN95" i="1"/>
  <c r="AN96" i="1"/>
  <c r="AN55" i="1"/>
  <c r="AN56" i="1"/>
  <c r="AN57" i="1"/>
  <c r="AN58" i="1"/>
  <c r="AN59" i="1"/>
  <c r="AN61" i="1"/>
  <c r="AN62" i="1"/>
  <c r="AN63" i="1"/>
  <c r="AN64" i="1"/>
  <c r="AN65" i="1"/>
  <c r="U67" i="1"/>
  <c r="AN98" i="1"/>
  <c r="AN35" i="1"/>
  <c r="AN36" i="1"/>
  <c r="AN37" i="1"/>
  <c r="AN38" i="1"/>
  <c r="AN39" i="1"/>
  <c r="AN40" i="1"/>
  <c r="AN41" i="1"/>
  <c r="AN42" i="1"/>
  <c r="AN43" i="1"/>
  <c r="AN44" i="1"/>
  <c r="AN45" i="1"/>
  <c r="AN26" i="1"/>
  <c r="AN27" i="1"/>
  <c r="AN28" i="1"/>
  <c r="AN29" i="1"/>
  <c r="AN30" i="1"/>
  <c r="AN31" i="1"/>
  <c r="AN32" i="1"/>
  <c r="AN33" i="1"/>
  <c r="AN14" i="1"/>
  <c r="AN15" i="1"/>
  <c r="AN16" i="1"/>
  <c r="AN17" i="1"/>
  <c r="AN18" i="1"/>
  <c r="AN19" i="1"/>
  <c r="AN20" i="1"/>
  <c r="AN21" i="1"/>
  <c r="AN22" i="1"/>
  <c r="AN23" i="1"/>
  <c r="AN24" i="1"/>
  <c r="AN67" i="1"/>
  <c r="AN69" i="1"/>
  <c r="AN70" i="1"/>
  <c r="AN71" i="1"/>
  <c r="AN72" i="1"/>
  <c r="AN47" i="1"/>
  <c r="AN48" i="1"/>
  <c r="AN49" i="1"/>
  <c r="AN50" i="1"/>
  <c r="AN51" i="1"/>
  <c r="AN52" i="1"/>
  <c r="AN74" i="1"/>
  <c r="AN75" i="1"/>
  <c r="AN100" i="1"/>
  <c r="AM94" i="1"/>
  <c r="AM95" i="1"/>
  <c r="AM96" i="1"/>
  <c r="AM55" i="1"/>
  <c r="AM56" i="1"/>
  <c r="AM57" i="1"/>
  <c r="AM58" i="1"/>
  <c r="AM59" i="1"/>
  <c r="AM61" i="1"/>
  <c r="AM62" i="1"/>
  <c r="AM63" i="1"/>
  <c r="AM64" i="1"/>
  <c r="AM65" i="1"/>
  <c r="T67" i="1"/>
  <c r="AM98" i="1"/>
  <c r="AM35" i="1"/>
  <c r="AM36" i="1"/>
  <c r="AM37" i="1"/>
  <c r="AM38" i="1"/>
  <c r="AM39" i="1"/>
  <c r="AM40" i="1"/>
  <c r="AM41" i="1"/>
  <c r="AM42" i="1"/>
  <c r="AM43" i="1"/>
  <c r="AM44" i="1"/>
  <c r="AM45" i="1"/>
  <c r="AM26" i="1"/>
  <c r="AM27" i="1"/>
  <c r="AM28" i="1"/>
  <c r="AM29" i="1"/>
  <c r="AM30" i="1"/>
  <c r="AM31" i="1"/>
  <c r="AM32" i="1"/>
  <c r="AM33" i="1"/>
  <c r="AM14" i="1"/>
  <c r="AM15" i="1"/>
  <c r="AM16" i="1"/>
  <c r="AM17" i="1"/>
  <c r="AM18" i="1"/>
  <c r="AM19" i="1"/>
  <c r="AM20" i="1"/>
  <c r="AM21" i="1"/>
  <c r="AM22" i="1"/>
  <c r="AM23" i="1"/>
  <c r="AM24" i="1"/>
  <c r="AM67" i="1"/>
  <c r="AM69" i="1"/>
  <c r="AM70" i="1"/>
  <c r="AM71" i="1"/>
  <c r="AM72" i="1"/>
  <c r="AM47" i="1"/>
  <c r="AM48" i="1"/>
  <c r="AM49" i="1"/>
  <c r="AM50" i="1"/>
  <c r="AM51" i="1"/>
  <c r="AM52" i="1"/>
  <c r="AM74" i="1"/>
  <c r="AM75" i="1"/>
  <c r="AM100" i="1"/>
  <c r="AL94" i="1"/>
  <c r="AL95" i="1"/>
  <c r="AL96" i="1"/>
  <c r="AL55" i="1"/>
  <c r="AL56" i="1"/>
  <c r="AL57" i="1"/>
  <c r="AL58" i="1"/>
  <c r="AL59" i="1"/>
  <c r="AL61" i="1"/>
  <c r="AL62" i="1"/>
  <c r="AL63" i="1"/>
  <c r="AL64" i="1"/>
  <c r="AL65" i="1"/>
  <c r="S67" i="1"/>
  <c r="AL98" i="1"/>
  <c r="AL35" i="1"/>
  <c r="AL36" i="1"/>
  <c r="AL37" i="1"/>
  <c r="AL38" i="1"/>
  <c r="AL39" i="1"/>
  <c r="AL40" i="1"/>
  <c r="AL41" i="1"/>
  <c r="AL42" i="1"/>
  <c r="AL43" i="1"/>
  <c r="AL44" i="1"/>
  <c r="AL45" i="1"/>
  <c r="AL26" i="1"/>
  <c r="AL27" i="1"/>
  <c r="AL28" i="1"/>
  <c r="AL29" i="1"/>
  <c r="AL30" i="1"/>
  <c r="AL31" i="1"/>
  <c r="AL32" i="1"/>
  <c r="AL33" i="1"/>
  <c r="AL14" i="1"/>
  <c r="AL15" i="1"/>
  <c r="AL16" i="1"/>
  <c r="AL17" i="1"/>
  <c r="AL18" i="1"/>
  <c r="AL19" i="1"/>
  <c r="AL20" i="1"/>
  <c r="AL21" i="1"/>
  <c r="AL22" i="1"/>
  <c r="AL23" i="1"/>
  <c r="AL24" i="1"/>
  <c r="AL67" i="1"/>
  <c r="AL69" i="1"/>
  <c r="AL70" i="1"/>
  <c r="AL71" i="1"/>
  <c r="AL72" i="1"/>
  <c r="AL47" i="1"/>
  <c r="AL48" i="1"/>
  <c r="AL49" i="1"/>
  <c r="AL50" i="1"/>
  <c r="AL51" i="1"/>
  <c r="AL52" i="1"/>
  <c r="AL74" i="1"/>
  <c r="AL75" i="1"/>
  <c r="AL100" i="1"/>
  <c r="AK94" i="1"/>
  <c r="AK95" i="1"/>
  <c r="AK96" i="1"/>
  <c r="AK55" i="1"/>
  <c r="AK56" i="1"/>
  <c r="AK57" i="1"/>
  <c r="AK58" i="1"/>
  <c r="AK59" i="1"/>
  <c r="AK61" i="1"/>
  <c r="AK62" i="1"/>
  <c r="AK63" i="1"/>
  <c r="AK64" i="1"/>
  <c r="AK65" i="1"/>
  <c r="R67" i="1"/>
  <c r="AK98" i="1"/>
  <c r="AK35" i="1"/>
  <c r="AK36" i="1"/>
  <c r="AK37" i="1"/>
  <c r="AK38" i="1"/>
  <c r="AK39" i="1"/>
  <c r="AK40" i="1"/>
  <c r="AK41" i="1"/>
  <c r="AK42" i="1"/>
  <c r="AK43" i="1"/>
  <c r="AK44" i="1"/>
  <c r="AK45" i="1"/>
  <c r="AK26" i="1"/>
  <c r="AK27" i="1"/>
  <c r="AK28" i="1"/>
  <c r="AK29" i="1"/>
  <c r="AK30" i="1"/>
  <c r="AK31" i="1"/>
  <c r="AK32" i="1"/>
  <c r="AK33" i="1"/>
  <c r="AK14" i="1"/>
  <c r="AK15" i="1"/>
  <c r="AK16" i="1"/>
  <c r="AK17" i="1"/>
  <c r="AK18" i="1"/>
  <c r="AK19" i="1"/>
  <c r="AK20" i="1"/>
  <c r="AK21" i="1"/>
  <c r="AK22" i="1"/>
  <c r="AK23" i="1"/>
  <c r="AK24" i="1"/>
  <c r="AK67" i="1"/>
  <c r="AK69" i="1"/>
  <c r="AK70" i="1"/>
  <c r="AK71" i="1"/>
  <c r="AK72" i="1"/>
  <c r="AK47" i="1"/>
  <c r="AK48" i="1"/>
  <c r="AK49" i="1"/>
  <c r="AK50" i="1"/>
  <c r="AK51" i="1"/>
  <c r="AK52" i="1"/>
  <c r="AK74" i="1"/>
  <c r="AK75" i="1"/>
  <c r="AK100" i="1"/>
  <c r="AJ94" i="1"/>
  <c r="AJ95" i="1"/>
  <c r="AJ96" i="1"/>
  <c r="AJ55" i="1"/>
  <c r="AJ56" i="1"/>
  <c r="AJ57" i="1"/>
  <c r="AJ58" i="1"/>
  <c r="AJ59" i="1"/>
  <c r="AJ61" i="1"/>
  <c r="AJ62" i="1"/>
  <c r="AJ63" i="1"/>
  <c r="AJ64" i="1"/>
  <c r="AJ65" i="1"/>
  <c r="Q67" i="1"/>
  <c r="AJ98" i="1"/>
  <c r="AJ35" i="1"/>
  <c r="AJ36" i="1"/>
  <c r="AJ37" i="1"/>
  <c r="AJ38" i="1"/>
  <c r="AJ39" i="1"/>
  <c r="AJ40" i="1"/>
  <c r="AJ41" i="1"/>
  <c r="AJ42" i="1"/>
  <c r="AJ43" i="1"/>
  <c r="AJ44" i="1"/>
  <c r="AJ45" i="1"/>
  <c r="AJ26" i="1"/>
  <c r="AJ27" i="1"/>
  <c r="AJ28" i="1"/>
  <c r="AJ29" i="1"/>
  <c r="AJ30" i="1"/>
  <c r="AJ31" i="1"/>
  <c r="AJ32" i="1"/>
  <c r="AJ33" i="1"/>
  <c r="AJ14" i="1"/>
  <c r="AJ15" i="1"/>
  <c r="AJ16" i="1"/>
  <c r="AJ17" i="1"/>
  <c r="AJ18" i="1"/>
  <c r="AJ19" i="1"/>
  <c r="AJ20" i="1"/>
  <c r="AJ21" i="1"/>
  <c r="AJ22" i="1"/>
  <c r="AJ23" i="1"/>
  <c r="AJ24" i="1"/>
  <c r="AJ67" i="1"/>
  <c r="AJ69" i="1"/>
  <c r="AJ70" i="1"/>
  <c r="AJ71" i="1"/>
  <c r="AJ72" i="1"/>
  <c r="AJ47" i="1"/>
  <c r="AJ48" i="1"/>
  <c r="AJ49" i="1"/>
  <c r="AJ50" i="1"/>
  <c r="AJ51" i="1"/>
  <c r="AJ52" i="1"/>
  <c r="AJ74" i="1"/>
  <c r="AJ75" i="1"/>
  <c r="AJ100" i="1"/>
  <c r="AI94" i="1"/>
  <c r="AI95" i="1"/>
  <c r="AI96" i="1"/>
  <c r="AI55" i="1"/>
  <c r="AI56" i="1"/>
  <c r="AI57" i="1"/>
  <c r="AI58" i="1"/>
  <c r="AI59" i="1"/>
  <c r="AI61" i="1"/>
  <c r="AI62" i="1"/>
  <c r="AI63" i="1"/>
  <c r="AI64" i="1"/>
  <c r="AI65" i="1"/>
  <c r="P67" i="1"/>
  <c r="AI98" i="1"/>
  <c r="AI35" i="1"/>
  <c r="AI36" i="1"/>
  <c r="AI37" i="1"/>
  <c r="AI38" i="1"/>
  <c r="AI39" i="1"/>
  <c r="AI40" i="1"/>
  <c r="AI41" i="1"/>
  <c r="AI42" i="1"/>
  <c r="AI43" i="1"/>
  <c r="AI44" i="1"/>
  <c r="AI45" i="1"/>
  <c r="AI26" i="1"/>
  <c r="AI27" i="1"/>
  <c r="AI28" i="1"/>
  <c r="AI29" i="1"/>
  <c r="AI30" i="1"/>
  <c r="AI31" i="1"/>
  <c r="AI32" i="1"/>
  <c r="AI33" i="1"/>
  <c r="AI14" i="1"/>
  <c r="AI15" i="1"/>
  <c r="AI16" i="1"/>
  <c r="AI17" i="1"/>
  <c r="AI18" i="1"/>
  <c r="AI19" i="1"/>
  <c r="AI20" i="1"/>
  <c r="AI21" i="1"/>
  <c r="AI22" i="1"/>
  <c r="AI23" i="1"/>
  <c r="AI24" i="1"/>
  <c r="AI67" i="1"/>
  <c r="AI69" i="1"/>
  <c r="AI70" i="1"/>
  <c r="AI71" i="1"/>
  <c r="AI72" i="1"/>
  <c r="AI47" i="1"/>
  <c r="AI48" i="1"/>
  <c r="AI49" i="1"/>
  <c r="AI50" i="1"/>
  <c r="AI51" i="1"/>
  <c r="AI52" i="1"/>
  <c r="AI74" i="1"/>
  <c r="AI75" i="1"/>
  <c r="AI100" i="1"/>
  <c r="AH94" i="1"/>
  <c r="AH95" i="1"/>
  <c r="AH96" i="1"/>
  <c r="AH55" i="1"/>
  <c r="AH56" i="1"/>
  <c r="AH57" i="1"/>
  <c r="AH58" i="1"/>
  <c r="AH59" i="1"/>
  <c r="AH61" i="1"/>
  <c r="AH62" i="1"/>
  <c r="AH63" i="1"/>
  <c r="AH64" i="1"/>
  <c r="AH65" i="1"/>
  <c r="O67" i="1"/>
  <c r="AH98" i="1"/>
  <c r="AH35" i="1"/>
  <c r="AH36" i="1"/>
  <c r="AH37" i="1"/>
  <c r="AH38" i="1"/>
  <c r="AH39" i="1"/>
  <c r="AH40" i="1"/>
  <c r="AH41" i="1"/>
  <c r="AH42" i="1"/>
  <c r="AH43" i="1"/>
  <c r="AH44" i="1"/>
  <c r="AH45" i="1"/>
  <c r="AH26" i="1"/>
  <c r="AH27" i="1"/>
  <c r="AH28" i="1"/>
  <c r="AH29" i="1"/>
  <c r="AH30" i="1"/>
  <c r="AH31" i="1"/>
  <c r="AH32" i="1"/>
  <c r="AH33" i="1"/>
  <c r="AH14" i="1"/>
  <c r="AH15" i="1"/>
  <c r="AH16" i="1"/>
  <c r="AH17" i="1"/>
  <c r="AH18" i="1"/>
  <c r="AH19" i="1"/>
  <c r="AH20" i="1"/>
  <c r="AH21" i="1"/>
  <c r="AH22" i="1"/>
  <c r="AH23" i="1"/>
  <c r="AH24" i="1"/>
  <c r="AH67" i="1"/>
  <c r="AH69" i="1"/>
  <c r="AH70" i="1"/>
  <c r="AH71" i="1"/>
  <c r="AH72" i="1"/>
  <c r="AH47" i="1"/>
  <c r="AH48" i="1"/>
  <c r="AH49" i="1"/>
  <c r="AH50" i="1"/>
  <c r="AH51" i="1"/>
  <c r="AH52" i="1"/>
  <c r="AH74" i="1"/>
  <c r="AH75" i="1"/>
  <c r="AH100" i="1"/>
  <c r="AG89" i="1"/>
  <c r="E91" i="1"/>
  <c r="F91" i="1"/>
  <c r="AG90" i="1"/>
  <c r="AG91" i="1"/>
  <c r="AG55" i="1"/>
  <c r="AG56" i="1"/>
  <c r="AG57" i="1"/>
  <c r="AG58" i="1"/>
  <c r="AG59" i="1"/>
  <c r="AG61" i="1"/>
  <c r="AG62" i="1"/>
  <c r="AG63" i="1"/>
  <c r="AG64" i="1"/>
  <c r="AG65" i="1"/>
  <c r="N67" i="1"/>
  <c r="AG94" i="1"/>
  <c r="AG95" i="1"/>
  <c r="AG96" i="1"/>
  <c r="AG98" i="1"/>
  <c r="AG35" i="1"/>
  <c r="AG36" i="1"/>
  <c r="AG37" i="1"/>
  <c r="AG38" i="1"/>
  <c r="AG39" i="1"/>
  <c r="AG40" i="1"/>
  <c r="AG41" i="1"/>
  <c r="AG42" i="1"/>
  <c r="AG43" i="1"/>
  <c r="AG44" i="1"/>
  <c r="AG45" i="1"/>
  <c r="AG26" i="1"/>
  <c r="AG27" i="1"/>
  <c r="AG28" i="1"/>
  <c r="AG29" i="1"/>
  <c r="AG30" i="1"/>
  <c r="AG31" i="1"/>
  <c r="AG32" i="1"/>
  <c r="AG33" i="1"/>
  <c r="AG14" i="1"/>
  <c r="AG15" i="1"/>
  <c r="AG16" i="1"/>
  <c r="AG17" i="1"/>
  <c r="AG18" i="1"/>
  <c r="AG19" i="1"/>
  <c r="AG20" i="1"/>
  <c r="AG21" i="1"/>
  <c r="AG22" i="1"/>
  <c r="AG23" i="1"/>
  <c r="AG24" i="1"/>
  <c r="AG67" i="1"/>
  <c r="AG69" i="1"/>
  <c r="AG70" i="1"/>
  <c r="AG71" i="1"/>
  <c r="AG72" i="1"/>
  <c r="AG47" i="1"/>
  <c r="AG48" i="1"/>
  <c r="AG49" i="1"/>
  <c r="AG50" i="1"/>
  <c r="AG51" i="1"/>
  <c r="AG52" i="1"/>
  <c r="AG74" i="1"/>
  <c r="AG75" i="1"/>
  <c r="AG100" i="1"/>
  <c r="AF89" i="1"/>
  <c r="AF90" i="1"/>
  <c r="AF91" i="1"/>
  <c r="AF55" i="1"/>
  <c r="AF56" i="1"/>
  <c r="AF57" i="1"/>
  <c r="AF58" i="1"/>
  <c r="AF59" i="1"/>
  <c r="AF61" i="1"/>
  <c r="AF62" i="1"/>
  <c r="AF63" i="1"/>
  <c r="AF64" i="1"/>
  <c r="AF65" i="1"/>
  <c r="M67" i="1"/>
  <c r="AF94" i="1"/>
  <c r="AF95" i="1"/>
  <c r="AF96" i="1"/>
  <c r="AF98" i="1"/>
  <c r="AF35" i="1"/>
  <c r="AF36" i="1"/>
  <c r="AF37" i="1"/>
  <c r="AF38" i="1"/>
  <c r="AF39" i="1"/>
  <c r="AF40" i="1"/>
  <c r="AF41" i="1"/>
  <c r="AF42" i="1"/>
  <c r="AF43" i="1"/>
  <c r="AF44" i="1"/>
  <c r="AF45" i="1"/>
  <c r="AF26" i="1"/>
  <c r="AF27" i="1"/>
  <c r="AF28" i="1"/>
  <c r="AF29" i="1"/>
  <c r="AF30" i="1"/>
  <c r="AF31" i="1"/>
  <c r="AF32" i="1"/>
  <c r="AF33" i="1"/>
  <c r="AF14" i="1"/>
  <c r="AF15" i="1"/>
  <c r="AF16" i="1"/>
  <c r="AF17" i="1"/>
  <c r="AF18" i="1"/>
  <c r="AF19" i="1"/>
  <c r="AF20" i="1"/>
  <c r="AF21" i="1"/>
  <c r="AF22" i="1"/>
  <c r="AF23" i="1"/>
  <c r="AF24" i="1"/>
  <c r="AF67" i="1"/>
  <c r="AF69" i="1"/>
  <c r="AF70" i="1"/>
  <c r="AF71" i="1"/>
  <c r="AF72" i="1"/>
  <c r="AF47" i="1"/>
  <c r="AF48" i="1"/>
  <c r="AF49" i="1"/>
  <c r="AF50" i="1"/>
  <c r="AF51" i="1"/>
  <c r="AF52" i="1"/>
  <c r="AF74" i="1"/>
  <c r="AF75" i="1"/>
  <c r="AF100" i="1"/>
  <c r="AE89" i="1"/>
  <c r="AE90" i="1"/>
  <c r="AE91" i="1"/>
  <c r="AE55" i="1"/>
  <c r="AE56" i="1"/>
  <c r="AE57" i="1"/>
  <c r="AE58" i="1"/>
  <c r="AE59" i="1"/>
  <c r="AE61" i="1"/>
  <c r="AE62" i="1"/>
  <c r="AE63" i="1"/>
  <c r="AE64" i="1"/>
  <c r="AE65" i="1"/>
  <c r="L67" i="1"/>
  <c r="AE94" i="1"/>
  <c r="AE95" i="1"/>
  <c r="AE96" i="1"/>
  <c r="AE98" i="1"/>
  <c r="AE35" i="1"/>
  <c r="AE36" i="1"/>
  <c r="AE37" i="1"/>
  <c r="AE38" i="1"/>
  <c r="AE39" i="1"/>
  <c r="AE40" i="1"/>
  <c r="AE41" i="1"/>
  <c r="AE42" i="1"/>
  <c r="AE43" i="1"/>
  <c r="AE44" i="1"/>
  <c r="AE45" i="1"/>
  <c r="AE26" i="1"/>
  <c r="AE27" i="1"/>
  <c r="AE28" i="1"/>
  <c r="AE29" i="1"/>
  <c r="AE30" i="1"/>
  <c r="AE31" i="1"/>
  <c r="AE32" i="1"/>
  <c r="AE33" i="1"/>
  <c r="AE14" i="1"/>
  <c r="AE15" i="1"/>
  <c r="AE16" i="1"/>
  <c r="AE17" i="1"/>
  <c r="AE18" i="1"/>
  <c r="AE19" i="1"/>
  <c r="AE20" i="1"/>
  <c r="AE21" i="1"/>
  <c r="AE22" i="1"/>
  <c r="AE23" i="1"/>
  <c r="AE24" i="1"/>
  <c r="AE67" i="1"/>
  <c r="AE69" i="1"/>
  <c r="AE70" i="1"/>
  <c r="AE71" i="1"/>
  <c r="AE72" i="1"/>
  <c r="AE47" i="1"/>
  <c r="AE48" i="1"/>
  <c r="AE49" i="1"/>
  <c r="AE50" i="1"/>
  <c r="AE51" i="1"/>
  <c r="AE52" i="1"/>
  <c r="AE74" i="1"/>
  <c r="AE75" i="1"/>
  <c r="AE100" i="1"/>
  <c r="AD89" i="1"/>
  <c r="AD90" i="1"/>
  <c r="AD91" i="1"/>
  <c r="AD55" i="1"/>
  <c r="AD56" i="1"/>
  <c r="AD57" i="1"/>
  <c r="AD58" i="1"/>
  <c r="AD59" i="1"/>
  <c r="AD61" i="1"/>
  <c r="AD62" i="1"/>
  <c r="AD63" i="1"/>
  <c r="AD64" i="1"/>
  <c r="AD65" i="1"/>
  <c r="K67" i="1"/>
  <c r="AD94" i="1"/>
  <c r="AD95" i="1"/>
  <c r="AD96" i="1"/>
  <c r="AD98" i="1"/>
  <c r="AD35" i="1"/>
  <c r="AD36" i="1"/>
  <c r="AD37" i="1"/>
  <c r="AD38" i="1"/>
  <c r="AD39" i="1"/>
  <c r="AD40" i="1"/>
  <c r="AD41" i="1"/>
  <c r="AD42" i="1"/>
  <c r="AD43" i="1"/>
  <c r="AD44" i="1"/>
  <c r="AD45" i="1"/>
  <c r="AD26" i="1"/>
  <c r="AD27" i="1"/>
  <c r="AD28" i="1"/>
  <c r="AD29" i="1"/>
  <c r="AD30" i="1"/>
  <c r="AD31" i="1"/>
  <c r="AD32" i="1"/>
  <c r="AD33" i="1"/>
  <c r="AD14" i="1"/>
  <c r="AD15" i="1"/>
  <c r="AD16" i="1"/>
  <c r="AD17" i="1"/>
  <c r="AD18" i="1"/>
  <c r="AD19" i="1"/>
  <c r="AD20" i="1"/>
  <c r="AD21" i="1"/>
  <c r="AD22" i="1"/>
  <c r="AD23" i="1"/>
  <c r="AD24" i="1"/>
  <c r="AD67" i="1"/>
  <c r="AD69" i="1"/>
  <c r="AD70" i="1"/>
  <c r="AD71" i="1"/>
  <c r="AD72" i="1"/>
  <c r="AD47" i="1"/>
  <c r="AD48" i="1"/>
  <c r="AD49" i="1"/>
  <c r="AD50" i="1"/>
  <c r="AD51" i="1"/>
  <c r="AD52" i="1"/>
  <c r="AD74" i="1"/>
  <c r="AD75" i="1"/>
  <c r="AD100" i="1"/>
  <c r="AC89" i="1"/>
  <c r="AC90" i="1"/>
  <c r="AC91" i="1"/>
  <c r="AC55" i="1"/>
  <c r="AC56" i="1"/>
  <c r="AC57" i="1"/>
  <c r="AC58" i="1"/>
  <c r="AC59" i="1"/>
  <c r="AC61" i="1"/>
  <c r="AC62" i="1"/>
  <c r="AC63" i="1"/>
  <c r="AC64" i="1"/>
  <c r="AC65" i="1"/>
  <c r="J67" i="1"/>
  <c r="AC94" i="1"/>
  <c r="AC95" i="1"/>
  <c r="AC96" i="1"/>
  <c r="AC98" i="1"/>
  <c r="AC35" i="1"/>
  <c r="AC36" i="1"/>
  <c r="AC37" i="1"/>
  <c r="AC38" i="1"/>
  <c r="AC39" i="1"/>
  <c r="AC40" i="1"/>
  <c r="AC41" i="1"/>
  <c r="AC42" i="1"/>
  <c r="AC43" i="1"/>
  <c r="AC44" i="1"/>
  <c r="AC45" i="1"/>
  <c r="AC26" i="1"/>
  <c r="AC27" i="1"/>
  <c r="AC28" i="1"/>
  <c r="AC29" i="1"/>
  <c r="AC30" i="1"/>
  <c r="AC31" i="1"/>
  <c r="AC32" i="1"/>
  <c r="AC33" i="1"/>
  <c r="AC14" i="1"/>
  <c r="AC15" i="1"/>
  <c r="AC16" i="1"/>
  <c r="AC17" i="1"/>
  <c r="AC18" i="1"/>
  <c r="AC19" i="1"/>
  <c r="AC20" i="1"/>
  <c r="AC21" i="1"/>
  <c r="AC22" i="1"/>
  <c r="AC23" i="1"/>
  <c r="AC24" i="1"/>
  <c r="AC67" i="1"/>
  <c r="AC69" i="1"/>
  <c r="AC70" i="1"/>
  <c r="AC71" i="1"/>
  <c r="AC72" i="1"/>
  <c r="AC47" i="1"/>
  <c r="AC48" i="1"/>
  <c r="AC49" i="1"/>
  <c r="AC50" i="1"/>
  <c r="AC51" i="1"/>
  <c r="AC52" i="1"/>
  <c r="AC74" i="1"/>
  <c r="AC75" i="1"/>
  <c r="AC100" i="1"/>
  <c r="AB89" i="1"/>
  <c r="AB90" i="1"/>
  <c r="AB91" i="1"/>
  <c r="AB55" i="1"/>
  <c r="AB56" i="1"/>
  <c r="AB57" i="1"/>
  <c r="AB58" i="1"/>
  <c r="AB59" i="1"/>
  <c r="AB61" i="1"/>
  <c r="AB62" i="1"/>
  <c r="AB63" i="1"/>
  <c r="AB64" i="1"/>
  <c r="AB65" i="1"/>
  <c r="I67" i="1"/>
  <c r="AB94" i="1"/>
  <c r="AB95" i="1"/>
  <c r="AB96" i="1"/>
  <c r="AB98" i="1"/>
  <c r="AB35" i="1"/>
  <c r="AB36" i="1"/>
  <c r="AB37" i="1"/>
  <c r="AB38" i="1"/>
  <c r="AB39" i="1"/>
  <c r="AB40" i="1"/>
  <c r="AB41" i="1"/>
  <c r="AB42" i="1"/>
  <c r="AB43" i="1"/>
  <c r="AB44" i="1"/>
  <c r="AB45" i="1"/>
  <c r="AB26" i="1"/>
  <c r="AB27" i="1"/>
  <c r="AB28" i="1"/>
  <c r="AB29" i="1"/>
  <c r="AB30" i="1"/>
  <c r="AB31" i="1"/>
  <c r="AB32" i="1"/>
  <c r="AB33" i="1"/>
  <c r="AB14" i="1"/>
  <c r="AB15" i="1"/>
  <c r="AB16" i="1"/>
  <c r="AB17" i="1"/>
  <c r="AB18" i="1"/>
  <c r="AB19" i="1"/>
  <c r="AB20" i="1"/>
  <c r="AB21" i="1"/>
  <c r="AB22" i="1"/>
  <c r="AB23" i="1"/>
  <c r="AB24" i="1"/>
  <c r="AB67" i="1"/>
  <c r="AB69" i="1"/>
  <c r="AB70" i="1"/>
  <c r="AB71" i="1"/>
  <c r="AB72" i="1"/>
  <c r="AB47" i="1"/>
  <c r="AB48" i="1"/>
  <c r="AB49" i="1"/>
  <c r="AB50" i="1"/>
  <c r="AB51" i="1"/>
  <c r="AB52" i="1"/>
  <c r="AB74" i="1"/>
  <c r="AB75" i="1"/>
  <c r="AB100" i="1"/>
  <c r="AQ11" i="1"/>
  <c r="AQ10" i="1"/>
  <c r="AQ9" i="1"/>
  <c r="AQ8" i="1"/>
  <c r="AQ7" i="1"/>
  <c r="AQ6" i="1"/>
  <c r="AQ5" i="1"/>
  <c r="AQ4" i="1"/>
  <c r="AQ3" i="1"/>
  <c r="AL11" i="1"/>
  <c r="AL10" i="1"/>
  <c r="AL9" i="1"/>
  <c r="AL8" i="1"/>
  <c r="AL7" i="1"/>
  <c r="AL6" i="1"/>
  <c r="AL5" i="1"/>
  <c r="AL4" i="1"/>
  <c r="AL3" i="1"/>
  <c r="AI11" i="1"/>
  <c r="AI10" i="1"/>
  <c r="AI9" i="1"/>
  <c r="AI8" i="1"/>
  <c r="AI7" i="1"/>
  <c r="AI6" i="1"/>
  <c r="AI5" i="1"/>
  <c r="AI4" i="1"/>
  <c r="AI3" i="1"/>
  <c r="AF11" i="1"/>
  <c r="AF10" i="1"/>
  <c r="AF9" i="1"/>
  <c r="AF8" i="1"/>
  <c r="AF7" i="1"/>
  <c r="AF6" i="1"/>
  <c r="AF5" i="1"/>
  <c r="AF4" i="1"/>
  <c r="AF3" i="1"/>
  <c r="AC3" i="1"/>
  <c r="AC4" i="1"/>
  <c r="AC5" i="1"/>
  <c r="AC6" i="1"/>
  <c r="AC7" i="1"/>
  <c r="AC8" i="1"/>
  <c r="AC9" i="1"/>
  <c r="AC10" i="1"/>
  <c r="AC11" i="1"/>
  <c r="AC12" i="1"/>
  <c r="AA89" i="1"/>
  <c r="AA90" i="1"/>
  <c r="AA91" i="1"/>
  <c r="AA94" i="1"/>
  <c r="AA95" i="1"/>
  <c r="AA96" i="1"/>
  <c r="AA98" i="1"/>
  <c r="AA35" i="1"/>
  <c r="AA36" i="1"/>
  <c r="AA37" i="1"/>
  <c r="AA38" i="1"/>
  <c r="AA39" i="1"/>
  <c r="AA40" i="1"/>
  <c r="AA41" i="1"/>
  <c r="AA42" i="1"/>
  <c r="AA43" i="1"/>
  <c r="AA44" i="1"/>
  <c r="AA45" i="1"/>
  <c r="AA26" i="1"/>
  <c r="AA27" i="1"/>
  <c r="AA28" i="1"/>
  <c r="AA29" i="1"/>
  <c r="AA30" i="1"/>
  <c r="AA31" i="1"/>
  <c r="AA32" i="1"/>
  <c r="AA33" i="1"/>
  <c r="AA14" i="1"/>
  <c r="AA15" i="1"/>
  <c r="AA16" i="1"/>
  <c r="AA17" i="1"/>
  <c r="AA18" i="1"/>
  <c r="AA19" i="1"/>
  <c r="AA20" i="1"/>
  <c r="AA21" i="1"/>
  <c r="AA22" i="1"/>
  <c r="AA23" i="1"/>
  <c r="AA24" i="1"/>
  <c r="AA67" i="1"/>
  <c r="AA69" i="1"/>
  <c r="AA70" i="1"/>
  <c r="AA71" i="1"/>
  <c r="AA72" i="1"/>
  <c r="AA47" i="1"/>
  <c r="AA48" i="1"/>
  <c r="AA49" i="1"/>
  <c r="AA50" i="1"/>
  <c r="AA51" i="1"/>
  <c r="AA52" i="1"/>
  <c r="AA74" i="1"/>
  <c r="AA75" i="1"/>
  <c r="AA100" i="1"/>
  <c r="C13" i="2"/>
  <c r="C14" i="2"/>
  <c r="K16" i="6"/>
  <c r="K23" i="6"/>
  <c r="K18" i="6"/>
  <c r="K15" i="6"/>
  <c r="K13" i="6"/>
  <c r="K21" i="6"/>
  <c r="K22" i="6"/>
  <c r="K14" i="6"/>
  <c r="K12" i="6"/>
  <c r="K20" i="6"/>
  <c r="K11" i="6"/>
  <c r="K9" i="6"/>
  <c r="K10" i="6"/>
  <c r="K6" i="6"/>
  <c r="K17" i="6"/>
  <c r="K8" i="6"/>
  <c r="K7" i="6"/>
  <c r="A24" i="3"/>
  <c r="G65" i="1"/>
  <c r="K128" i="1"/>
  <c r="B13" i="2"/>
  <c r="C119" i="1"/>
  <c r="D13" i="2"/>
  <c r="E119" i="1"/>
  <c r="D77" i="1"/>
  <c r="D78" i="1"/>
  <c r="D79" i="1"/>
  <c r="D80" i="1"/>
  <c r="F77" i="1"/>
  <c r="D119" i="1"/>
  <c r="E77" i="1"/>
  <c r="G77" i="1"/>
  <c r="AR77" i="1"/>
  <c r="F78" i="1"/>
  <c r="E78" i="1"/>
  <c r="G78" i="1"/>
  <c r="AR78" i="1"/>
  <c r="F79" i="1"/>
  <c r="E79" i="1"/>
  <c r="G79" i="1"/>
  <c r="AR79" i="1"/>
  <c r="F80" i="1"/>
  <c r="E80" i="1"/>
  <c r="G80" i="1"/>
  <c r="AR80" i="1"/>
  <c r="AR81" i="1"/>
  <c r="B14" i="2"/>
  <c r="C120" i="1"/>
  <c r="D14" i="2"/>
  <c r="E120" i="1"/>
  <c r="D83" i="1"/>
  <c r="D84" i="1"/>
  <c r="D85" i="1"/>
  <c r="F83" i="1"/>
  <c r="D120" i="1"/>
  <c r="E83" i="1"/>
  <c r="G83" i="1"/>
  <c r="AR83" i="1"/>
  <c r="F84" i="1"/>
  <c r="E84" i="1"/>
  <c r="G84" i="1"/>
  <c r="AR84" i="1"/>
  <c r="F85" i="1"/>
  <c r="E85" i="1"/>
  <c r="G85" i="1"/>
  <c r="AR85" i="1"/>
  <c r="AR86" i="1"/>
  <c r="AR102" i="1"/>
  <c r="AQ12" i="1"/>
  <c r="AQ77" i="1"/>
  <c r="AQ78" i="1"/>
  <c r="AQ79" i="1"/>
  <c r="AQ80" i="1"/>
  <c r="AQ81" i="1"/>
  <c r="AQ83" i="1"/>
  <c r="AQ84" i="1"/>
  <c r="AQ85" i="1"/>
  <c r="AQ86" i="1"/>
  <c r="AQ102" i="1"/>
  <c r="AP3" i="1"/>
  <c r="AP4" i="1"/>
  <c r="AP5" i="1"/>
  <c r="AP6" i="1"/>
  <c r="AP7" i="1"/>
  <c r="AP8" i="1"/>
  <c r="AP9" i="1"/>
  <c r="AP10" i="1"/>
  <c r="AP11" i="1"/>
  <c r="AP12" i="1"/>
  <c r="AP77" i="1"/>
  <c r="AP78" i="1"/>
  <c r="AP79" i="1"/>
  <c r="AP80" i="1"/>
  <c r="AP81" i="1"/>
  <c r="AP83" i="1"/>
  <c r="AP84" i="1"/>
  <c r="AP85" i="1"/>
  <c r="AP86" i="1"/>
  <c r="AP102" i="1"/>
  <c r="AO3" i="1"/>
  <c r="AO4" i="1"/>
  <c r="AO5" i="1"/>
  <c r="AO6" i="1"/>
  <c r="AO7" i="1"/>
  <c r="AO8" i="1"/>
  <c r="AO9" i="1"/>
  <c r="AO10" i="1"/>
  <c r="AO11" i="1"/>
  <c r="AO12" i="1"/>
  <c r="AO77" i="1"/>
  <c r="AO78" i="1"/>
  <c r="AO79" i="1"/>
  <c r="AO80" i="1"/>
  <c r="AO81" i="1"/>
  <c r="AO83" i="1"/>
  <c r="AO84" i="1"/>
  <c r="AO85" i="1"/>
  <c r="AO86" i="1"/>
  <c r="AO102" i="1"/>
  <c r="AN3" i="1"/>
  <c r="AN4" i="1"/>
  <c r="AN5" i="1"/>
  <c r="AN6" i="1"/>
  <c r="AN7" i="1"/>
  <c r="AN8" i="1"/>
  <c r="AN9" i="1"/>
  <c r="AN10" i="1"/>
  <c r="AN11" i="1"/>
  <c r="AN12" i="1"/>
  <c r="AN77" i="1"/>
  <c r="AN78" i="1"/>
  <c r="AN79" i="1"/>
  <c r="AN80" i="1"/>
  <c r="AN81" i="1"/>
  <c r="AN83" i="1"/>
  <c r="AN84" i="1"/>
  <c r="AN85" i="1"/>
  <c r="AN86" i="1"/>
  <c r="AN102" i="1"/>
  <c r="AM3" i="1"/>
  <c r="AM4" i="1"/>
  <c r="AM5" i="1"/>
  <c r="AM6" i="1"/>
  <c r="AM7" i="1"/>
  <c r="AM8" i="1"/>
  <c r="AM9" i="1"/>
  <c r="AM10" i="1"/>
  <c r="AM11" i="1"/>
  <c r="AM12" i="1"/>
  <c r="AM77" i="1"/>
  <c r="AM78" i="1"/>
  <c r="AM79" i="1"/>
  <c r="AM80" i="1"/>
  <c r="AM81" i="1"/>
  <c r="AM83" i="1"/>
  <c r="AM84" i="1"/>
  <c r="AM85" i="1"/>
  <c r="AM86" i="1"/>
  <c r="AM102" i="1"/>
  <c r="AL12" i="1"/>
  <c r="AL77" i="1"/>
  <c r="AL78" i="1"/>
  <c r="AL79" i="1"/>
  <c r="AL80" i="1"/>
  <c r="AL81" i="1"/>
  <c r="AL83" i="1"/>
  <c r="AL84" i="1"/>
  <c r="AL85" i="1"/>
  <c r="AL86" i="1"/>
  <c r="AL102" i="1"/>
  <c r="AK3" i="1"/>
  <c r="AK4" i="1"/>
  <c r="AK5" i="1"/>
  <c r="AK6" i="1"/>
  <c r="AK7" i="1"/>
  <c r="AK8" i="1"/>
  <c r="AK9" i="1"/>
  <c r="AK10" i="1"/>
  <c r="AK11" i="1"/>
  <c r="AK12" i="1"/>
  <c r="AK77" i="1"/>
  <c r="AK78" i="1"/>
  <c r="AK79" i="1"/>
  <c r="AK80" i="1"/>
  <c r="AK81" i="1"/>
  <c r="AK83" i="1"/>
  <c r="AK84" i="1"/>
  <c r="AK85" i="1"/>
  <c r="AK86" i="1"/>
  <c r="AK102" i="1"/>
  <c r="AJ3" i="1"/>
  <c r="AJ4" i="1"/>
  <c r="AJ5" i="1"/>
  <c r="AJ6" i="1"/>
  <c r="AJ7" i="1"/>
  <c r="AJ8" i="1"/>
  <c r="AJ9" i="1"/>
  <c r="AJ10" i="1"/>
  <c r="AJ11" i="1"/>
  <c r="AJ12" i="1"/>
  <c r="AJ77" i="1"/>
  <c r="AJ78" i="1"/>
  <c r="AJ79" i="1"/>
  <c r="AJ80" i="1"/>
  <c r="AJ81" i="1"/>
  <c r="AJ83" i="1"/>
  <c r="AJ84" i="1"/>
  <c r="AJ85" i="1"/>
  <c r="AJ86" i="1"/>
  <c r="AJ102" i="1"/>
  <c r="AI12" i="1"/>
  <c r="AI77" i="1"/>
  <c r="AI78" i="1"/>
  <c r="AI79" i="1"/>
  <c r="AI80" i="1"/>
  <c r="AI81" i="1"/>
  <c r="AI83" i="1"/>
  <c r="AI84" i="1"/>
  <c r="AI85" i="1"/>
  <c r="AI86" i="1"/>
  <c r="AI102" i="1"/>
  <c r="AH3" i="1"/>
  <c r="AH4" i="1"/>
  <c r="AH5" i="1"/>
  <c r="AH6" i="1"/>
  <c r="AH7" i="1"/>
  <c r="AH8" i="1"/>
  <c r="AH9" i="1"/>
  <c r="AH10" i="1"/>
  <c r="AH11" i="1"/>
  <c r="AH12" i="1"/>
  <c r="AH77" i="1"/>
  <c r="AH78" i="1"/>
  <c r="AH79" i="1"/>
  <c r="AH80" i="1"/>
  <c r="AH81" i="1"/>
  <c r="AH83" i="1"/>
  <c r="AH84" i="1"/>
  <c r="AH85" i="1"/>
  <c r="AH86" i="1"/>
  <c r="AH102" i="1"/>
  <c r="AG3" i="1"/>
  <c r="AG4" i="1"/>
  <c r="AG5" i="1"/>
  <c r="AG6" i="1"/>
  <c r="AG7" i="1"/>
  <c r="AG8" i="1"/>
  <c r="AG9" i="1"/>
  <c r="AG10" i="1"/>
  <c r="AG11" i="1"/>
  <c r="AG12" i="1"/>
  <c r="AG77" i="1"/>
  <c r="AG78" i="1"/>
  <c r="AG79" i="1"/>
  <c r="AG80" i="1"/>
  <c r="AG81" i="1"/>
  <c r="AG83" i="1"/>
  <c r="AG84" i="1"/>
  <c r="AG85" i="1"/>
  <c r="AG86" i="1"/>
  <c r="AG102" i="1"/>
  <c r="AF12" i="1"/>
  <c r="AF77" i="1"/>
  <c r="AF78" i="1"/>
  <c r="AF79" i="1"/>
  <c r="AF80" i="1"/>
  <c r="AF81" i="1"/>
  <c r="AF83" i="1"/>
  <c r="AF84" i="1"/>
  <c r="AF85" i="1"/>
  <c r="AF86" i="1"/>
  <c r="AF102" i="1"/>
  <c r="AE3" i="1"/>
  <c r="AE4" i="1"/>
  <c r="AE5" i="1"/>
  <c r="AE6" i="1"/>
  <c r="AE7" i="1"/>
  <c r="AE8" i="1"/>
  <c r="AE9" i="1"/>
  <c r="AE10" i="1"/>
  <c r="AE11" i="1"/>
  <c r="AE12" i="1"/>
  <c r="AE77" i="1"/>
  <c r="AE78" i="1"/>
  <c r="AE79" i="1"/>
  <c r="AE80" i="1"/>
  <c r="AE81" i="1"/>
  <c r="AE83" i="1"/>
  <c r="AE84" i="1"/>
  <c r="AE85" i="1"/>
  <c r="AE86" i="1"/>
  <c r="AE102" i="1"/>
  <c r="AD3" i="1"/>
  <c r="AD4" i="1"/>
  <c r="AD5" i="1"/>
  <c r="AD6" i="1"/>
  <c r="AD7" i="1"/>
  <c r="AD8" i="1"/>
  <c r="AD9" i="1"/>
  <c r="AD10" i="1"/>
  <c r="AD11" i="1"/>
  <c r="AD12" i="1"/>
  <c r="AD77" i="1"/>
  <c r="AD78" i="1"/>
  <c r="AD79" i="1"/>
  <c r="AD80" i="1"/>
  <c r="AD81" i="1"/>
  <c r="AD83" i="1"/>
  <c r="AD84" i="1"/>
  <c r="AD85" i="1"/>
  <c r="AD86" i="1"/>
  <c r="AD102" i="1"/>
  <c r="AC77" i="1"/>
  <c r="AC78" i="1"/>
  <c r="AC79" i="1"/>
  <c r="AC80" i="1"/>
  <c r="AC81" i="1"/>
  <c r="AC83" i="1"/>
  <c r="AC84" i="1"/>
  <c r="AC85" i="1"/>
  <c r="AC86" i="1"/>
  <c r="AC102" i="1"/>
  <c r="AB3" i="1"/>
  <c r="AB4" i="1"/>
  <c r="AB5" i="1"/>
  <c r="AB6" i="1"/>
  <c r="AB7" i="1"/>
  <c r="AB8" i="1"/>
  <c r="AB9" i="1"/>
  <c r="AB10" i="1"/>
  <c r="AB11" i="1"/>
  <c r="AB12" i="1"/>
  <c r="AB77" i="1"/>
  <c r="AB78" i="1"/>
  <c r="AB79" i="1"/>
  <c r="AB80" i="1"/>
  <c r="AB81" i="1"/>
  <c r="AB83" i="1"/>
  <c r="AB84" i="1"/>
  <c r="AB85" i="1"/>
  <c r="AB86" i="1"/>
  <c r="AB102" i="1"/>
  <c r="AA3" i="1"/>
  <c r="AA4" i="1"/>
  <c r="AA5" i="1"/>
  <c r="AA6" i="1"/>
  <c r="AA7" i="1"/>
  <c r="AA8" i="1"/>
  <c r="AA9" i="1"/>
  <c r="AA10" i="1"/>
  <c r="AA11" i="1"/>
  <c r="AA12" i="1"/>
  <c r="AA77" i="1"/>
  <c r="AA78" i="1"/>
  <c r="AA79" i="1"/>
  <c r="AA80" i="1"/>
  <c r="AA81" i="1"/>
  <c r="AA83" i="1"/>
  <c r="AA84" i="1"/>
  <c r="AA85" i="1"/>
  <c r="AA86" i="1"/>
  <c r="AA102" i="1"/>
  <c r="AR89" i="1"/>
  <c r="AR90" i="1"/>
  <c r="AQ89" i="1"/>
  <c r="AQ90" i="1"/>
  <c r="AP89" i="1"/>
  <c r="AP90" i="1"/>
  <c r="AN89" i="1"/>
  <c r="AN90" i="1"/>
  <c r="AM89" i="1"/>
  <c r="AM90" i="1"/>
  <c r="AL89" i="1"/>
  <c r="AL90" i="1"/>
  <c r="AK89" i="1"/>
  <c r="AK90" i="1"/>
  <c r="AJ89" i="1"/>
  <c r="AJ90" i="1"/>
  <c r="AI89" i="1"/>
  <c r="AI90" i="1"/>
  <c r="AH89" i="1"/>
  <c r="AH90" i="1"/>
  <c r="AR91" i="1"/>
  <c r="AQ91" i="1"/>
  <c r="AP91" i="1"/>
  <c r="AN91" i="1"/>
  <c r="AM91" i="1"/>
  <c r="AL91" i="1"/>
  <c r="AK91" i="1"/>
  <c r="AJ91" i="1"/>
  <c r="AI91" i="1"/>
  <c r="AH91" i="1"/>
  <c r="Y98" i="1"/>
  <c r="X98" i="1"/>
  <c r="W98" i="1"/>
  <c r="V98" i="1"/>
  <c r="U98" i="1"/>
  <c r="T98" i="1"/>
  <c r="S98" i="1"/>
  <c r="R98" i="1"/>
  <c r="Q98" i="1"/>
  <c r="P98" i="1"/>
  <c r="O98" i="1"/>
  <c r="N98" i="1"/>
  <c r="M98" i="1"/>
  <c r="L98" i="1"/>
  <c r="K98" i="1"/>
  <c r="J98" i="1"/>
  <c r="I98" i="1"/>
  <c r="H98" i="1"/>
  <c r="B89" i="1"/>
  <c r="G59" i="1"/>
  <c r="B115" i="1"/>
  <c r="B114" i="1"/>
  <c r="A9" i="2"/>
  <c r="A8" i="2"/>
  <c r="G86" i="1"/>
  <c r="P139" i="1"/>
  <c r="P19" i="5"/>
  <c r="G81" i="1"/>
  <c r="O139" i="1"/>
  <c r="O19" i="5"/>
  <c r="P136" i="1"/>
  <c r="P14" i="5"/>
  <c r="O136" i="1"/>
  <c r="O14" i="5"/>
  <c r="P130" i="1"/>
  <c r="P17" i="5"/>
  <c r="O130" i="1"/>
  <c r="O17" i="5"/>
  <c r="P142" i="1"/>
  <c r="P15" i="5"/>
  <c r="O142" i="1"/>
  <c r="O15" i="5"/>
  <c r="P18" i="5"/>
  <c r="O18" i="5"/>
  <c r="P143" i="1"/>
  <c r="O143" i="1"/>
  <c r="P144" i="1"/>
  <c r="P2" i="5"/>
  <c r="O144" i="1"/>
  <c r="O2" i="5"/>
  <c r="P133" i="1"/>
  <c r="P13" i="5"/>
  <c r="O133" i="1"/>
  <c r="O13" i="5"/>
  <c r="P141" i="1"/>
  <c r="P12" i="5"/>
  <c r="O141" i="1"/>
  <c r="O12" i="5"/>
  <c r="P137" i="1"/>
  <c r="P11" i="5"/>
  <c r="O137" i="1"/>
  <c r="O11" i="5"/>
  <c r="P140" i="1"/>
  <c r="P9" i="5"/>
  <c r="O140" i="1"/>
  <c r="O9" i="5"/>
  <c r="P131" i="1"/>
  <c r="P10" i="5"/>
  <c r="O131" i="1"/>
  <c r="O10" i="5"/>
  <c r="P135" i="1"/>
  <c r="P8" i="5"/>
  <c r="O135" i="1"/>
  <c r="O8" i="5"/>
  <c r="P138" i="1"/>
  <c r="P16" i="5"/>
  <c r="O138" i="1"/>
  <c r="O16" i="5"/>
  <c r="P129" i="1"/>
  <c r="P7" i="5"/>
  <c r="O129" i="1"/>
  <c r="O7" i="5"/>
  <c r="P128" i="1"/>
  <c r="P5" i="5"/>
  <c r="O128" i="1"/>
  <c r="O5" i="5"/>
  <c r="P134" i="1"/>
  <c r="P6" i="5"/>
  <c r="O134" i="1"/>
  <c r="O6" i="5"/>
  <c r="P145" i="1"/>
  <c r="P4" i="5"/>
  <c r="O145" i="1"/>
  <c r="O4" i="5"/>
  <c r="P132" i="1"/>
  <c r="P3" i="5"/>
  <c r="O132" i="1"/>
  <c r="O3" i="5"/>
  <c r="O2" i="6"/>
  <c r="N2" i="6"/>
  <c r="G24" i="1"/>
  <c r="G33" i="1"/>
  <c r="G45" i="1"/>
  <c r="G52" i="1"/>
  <c r="G72" i="1"/>
  <c r="G102" i="1"/>
  <c r="B120" i="1"/>
  <c r="B119" i="1"/>
  <c r="A14" i="2"/>
  <c r="A13" i="2"/>
  <c r="A12" i="2"/>
  <c r="B94" i="1"/>
  <c r="N144" i="1"/>
  <c r="N2" i="5"/>
  <c r="M144" i="1"/>
  <c r="M2" i="5"/>
  <c r="L144" i="1"/>
  <c r="L2" i="5"/>
  <c r="K144" i="1"/>
  <c r="K2" i="5"/>
  <c r="J144" i="1"/>
  <c r="J2" i="5"/>
  <c r="I144" i="1"/>
  <c r="I2" i="5"/>
  <c r="H144" i="1"/>
  <c r="H2" i="5"/>
  <c r="G144" i="1"/>
  <c r="G2" i="5"/>
  <c r="F144" i="1"/>
  <c r="F2" i="5"/>
  <c r="E144" i="1"/>
  <c r="E2" i="5"/>
  <c r="C144" i="1"/>
  <c r="D144" i="1"/>
  <c r="D2" i="5"/>
  <c r="C2" i="5"/>
  <c r="N139" i="1"/>
  <c r="N19" i="5"/>
  <c r="M139" i="1"/>
  <c r="M19" i="5"/>
  <c r="L139" i="1"/>
  <c r="L19" i="5"/>
  <c r="K139" i="1"/>
  <c r="K19" i="5"/>
  <c r="J139" i="1"/>
  <c r="J19" i="5"/>
  <c r="I139" i="1"/>
  <c r="I19" i="5"/>
  <c r="H139" i="1"/>
  <c r="H19" i="5"/>
  <c r="G139" i="1"/>
  <c r="G19" i="5"/>
  <c r="F139" i="1"/>
  <c r="F19" i="5"/>
  <c r="E139" i="1"/>
  <c r="E19" i="5"/>
  <c r="C139" i="1"/>
  <c r="D139" i="1"/>
  <c r="D19" i="5"/>
  <c r="C19" i="5"/>
  <c r="N136" i="1"/>
  <c r="N17" i="5"/>
  <c r="M136" i="1"/>
  <c r="M17" i="5"/>
  <c r="L136" i="1"/>
  <c r="L17" i="5"/>
  <c r="K136" i="1"/>
  <c r="K17" i="5"/>
  <c r="J136" i="1"/>
  <c r="J17" i="5"/>
  <c r="I136" i="1"/>
  <c r="I17" i="5"/>
  <c r="H136" i="1"/>
  <c r="H17" i="5"/>
  <c r="G136" i="1"/>
  <c r="G17" i="5"/>
  <c r="F136" i="1"/>
  <c r="F17" i="5"/>
  <c r="E136" i="1"/>
  <c r="E17" i="5"/>
  <c r="C136" i="1"/>
  <c r="D136" i="1"/>
  <c r="D17" i="5"/>
  <c r="C17" i="5"/>
  <c r="N133" i="1"/>
  <c r="N13" i="5"/>
  <c r="M133" i="1"/>
  <c r="M13" i="5"/>
  <c r="L133" i="1"/>
  <c r="L13" i="5"/>
  <c r="K133" i="1"/>
  <c r="K13" i="5"/>
  <c r="J133" i="1"/>
  <c r="J13" i="5"/>
  <c r="I133" i="1"/>
  <c r="I13" i="5"/>
  <c r="H133" i="1"/>
  <c r="H13" i="5"/>
  <c r="G133" i="1"/>
  <c r="G13" i="5"/>
  <c r="F133" i="1"/>
  <c r="F13" i="5"/>
  <c r="E133" i="1"/>
  <c r="E13" i="5"/>
  <c r="C133" i="1"/>
  <c r="D133" i="1"/>
  <c r="D13" i="5"/>
  <c r="C13" i="5"/>
  <c r="N130" i="1"/>
  <c r="N14" i="5"/>
  <c r="M130" i="1"/>
  <c r="M14" i="5"/>
  <c r="L130" i="1"/>
  <c r="L14" i="5"/>
  <c r="K130" i="1"/>
  <c r="K14" i="5"/>
  <c r="J130" i="1"/>
  <c r="J14" i="5"/>
  <c r="I130" i="1"/>
  <c r="I14" i="5"/>
  <c r="H130" i="1"/>
  <c r="H14" i="5"/>
  <c r="G130" i="1"/>
  <c r="G14" i="5"/>
  <c r="F130" i="1"/>
  <c r="F14" i="5"/>
  <c r="E130" i="1"/>
  <c r="E14" i="5"/>
  <c r="C130" i="1"/>
  <c r="D130" i="1"/>
  <c r="D14" i="5"/>
  <c r="C14" i="5"/>
  <c r="X102" i="1"/>
  <c r="B144" i="1"/>
  <c r="B2" i="5"/>
  <c r="S102" i="1"/>
  <c r="B139" i="1"/>
  <c r="B19" i="5"/>
  <c r="P102" i="1"/>
  <c r="B136" i="1"/>
  <c r="B17" i="5"/>
  <c r="M102" i="1"/>
  <c r="B133" i="1"/>
  <c r="B13" i="5"/>
  <c r="J102" i="1"/>
  <c r="B130" i="1"/>
  <c r="B14" i="5"/>
  <c r="B18" i="6"/>
  <c r="C18" i="6"/>
  <c r="D18" i="6"/>
  <c r="B17" i="6"/>
  <c r="C17" i="6"/>
  <c r="D17" i="6"/>
  <c r="B21" i="6"/>
  <c r="C21" i="6"/>
  <c r="D21" i="6"/>
  <c r="B23" i="6"/>
  <c r="C23" i="6"/>
  <c r="D23" i="6"/>
  <c r="B6" i="6"/>
  <c r="C6" i="6"/>
  <c r="D6" i="6"/>
  <c r="H102" i="1"/>
  <c r="B128" i="1"/>
  <c r="B7" i="6"/>
  <c r="N102" i="1"/>
  <c r="B134" i="1"/>
  <c r="B10" i="6"/>
  <c r="K102" i="1"/>
  <c r="B131" i="1"/>
  <c r="B9" i="6"/>
  <c r="Y102" i="1"/>
  <c r="B145" i="1"/>
  <c r="B8" i="6"/>
  <c r="L102" i="1"/>
  <c r="B132" i="1"/>
  <c r="B11" i="6"/>
  <c r="I102" i="1"/>
  <c r="B129" i="1"/>
  <c r="B20" i="6"/>
  <c r="Q102" i="1"/>
  <c r="B137" i="1"/>
  <c r="B12" i="6"/>
  <c r="T102" i="1"/>
  <c r="B140" i="1"/>
  <c r="B14" i="6"/>
  <c r="U102" i="1"/>
  <c r="B141" i="1"/>
  <c r="B16" i="6"/>
  <c r="V102" i="1"/>
  <c r="B142" i="1"/>
  <c r="B19" i="6"/>
  <c r="W102" i="1"/>
  <c r="B143" i="1"/>
  <c r="B22" i="6"/>
  <c r="O102" i="1"/>
  <c r="B135" i="1"/>
  <c r="B13" i="6"/>
  <c r="R102" i="1"/>
  <c r="B138" i="1"/>
  <c r="B15" i="6"/>
  <c r="C134" i="1"/>
  <c r="C10" i="6"/>
  <c r="D134" i="1"/>
  <c r="D10" i="6"/>
  <c r="C131" i="1"/>
  <c r="C9" i="6"/>
  <c r="D131" i="1"/>
  <c r="D9" i="6"/>
  <c r="C145" i="1"/>
  <c r="C8" i="6"/>
  <c r="D145" i="1"/>
  <c r="D8" i="6"/>
  <c r="C132" i="1"/>
  <c r="C11" i="6"/>
  <c r="D132" i="1"/>
  <c r="D11" i="6"/>
  <c r="C129" i="1"/>
  <c r="C20" i="6"/>
  <c r="D129" i="1"/>
  <c r="D20" i="6"/>
  <c r="C137" i="1"/>
  <c r="C12" i="6"/>
  <c r="D137" i="1"/>
  <c r="D12" i="6"/>
  <c r="C140" i="1"/>
  <c r="C14" i="6"/>
  <c r="D140" i="1"/>
  <c r="D14" i="6"/>
  <c r="C141" i="1"/>
  <c r="C16" i="6"/>
  <c r="D141" i="1"/>
  <c r="D16" i="6"/>
  <c r="C142" i="1"/>
  <c r="C19" i="6"/>
  <c r="D142" i="1"/>
  <c r="D19" i="6"/>
  <c r="C143" i="1"/>
  <c r="C22" i="6"/>
  <c r="D143" i="1"/>
  <c r="D22" i="6"/>
  <c r="C135" i="1"/>
  <c r="C13" i="6"/>
  <c r="D135" i="1"/>
  <c r="D13" i="6"/>
  <c r="C138" i="1"/>
  <c r="C15" i="6"/>
  <c r="D138" i="1"/>
  <c r="D15" i="6"/>
  <c r="C128" i="1"/>
  <c r="C7" i="6"/>
  <c r="D128" i="1"/>
  <c r="D7" i="6"/>
  <c r="N145" i="1"/>
  <c r="M145" i="1"/>
  <c r="L145" i="1"/>
  <c r="K145" i="1"/>
  <c r="J145" i="1"/>
  <c r="I145" i="1"/>
  <c r="H145" i="1"/>
  <c r="G145" i="1"/>
  <c r="N143" i="1"/>
  <c r="M143" i="1"/>
  <c r="L143" i="1"/>
  <c r="K143" i="1"/>
  <c r="J143" i="1"/>
  <c r="I143" i="1"/>
  <c r="H143" i="1"/>
  <c r="G143" i="1"/>
  <c r="F143" i="1"/>
  <c r="N142" i="1"/>
  <c r="M142" i="1"/>
  <c r="L142" i="1"/>
  <c r="K142" i="1"/>
  <c r="J142" i="1"/>
  <c r="I142" i="1"/>
  <c r="H142" i="1"/>
  <c r="G142" i="1"/>
  <c r="F142" i="1"/>
  <c r="N141" i="1"/>
  <c r="M141" i="1"/>
  <c r="L141" i="1"/>
  <c r="K141" i="1"/>
  <c r="J141" i="1"/>
  <c r="I141" i="1"/>
  <c r="H141" i="1"/>
  <c r="G141" i="1"/>
  <c r="F141" i="1"/>
  <c r="N140" i="1"/>
  <c r="M140" i="1"/>
  <c r="L140" i="1"/>
  <c r="K140" i="1"/>
  <c r="J140" i="1"/>
  <c r="I140" i="1"/>
  <c r="H140" i="1"/>
  <c r="G140" i="1"/>
  <c r="F140" i="1"/>
  <c r="N138" i="1"/>
  <c r="M138" i="1"/>
  <c r="L138" i="1"/>
  <c r="K138" i="1"/>
  <c r="J138" i="1"/>
  <c r="I138" i="1"/>
  <c r="H138" i="1"/>
  <c r="G138" i="1"/>
  <c r="F138" i="1"/>
  <c r="N137" i="1"/>
  <c r="M137" i="1"/>
  <c r="L137" i="1"/>
  <c r="K137" i="1"/>
  <c r="J137" i="1"/>
  <c r="I137" i="1"/>
  <c r="H137" i="1"/>
  <c r="G137" i="1"/>
  <c r="F137" i="1"/>
  <c r="N135" i="1"/>
  <c r="M135" i="1"/>
  <c r="L135" i="1"/>
  <c r="K135" i="1"/>
  <c r="J135" i="1"/>
  <c r="I135" i="1"/>
  <c r="H135" i="1"/>
  <c r="G135" i="1"/>
  <c r="F135" i="1"/>
  <c r="N134" i="1"/>
  <c r="M134" i="1"/>
  <c r="L134" i="1"/>
  <c r="K134" i="1"/>
  <c r="J134" i="1"/>
  <c r="I134" i="1"/>
  <c r="H134" i="1"/>
  <c r="G134" i="1"/>
  <c r="F134" i="1"/>
  <c r="N132" i="1"/>
  <c r="M132" i="1"/>
  <c r="L132" i="1"/>
  <c r="K132" i="1"/>
  <c r="J132" i="1"/>
  <c r="I132" i="1"/>
  <c r="H132" i="1"/>
  <c r="G132" i="1"/>
  <c r="F132" i="1"/>
  <c r="N131" i="1"/>
  <c r="M131" i="1"/>
  <c r="L131" i="1"/>
  <c r="K131" i="1"/>
  <c r="J131" i="1"/>
  <c r="I131" i="1"/>
  <c r="H131" i="1"/>
  <c r="G131" i="1"/>
  <c r="F131" i="1"/>
  <c r="R145" i="1"/>
  <c r="R144" i="1"/>
  <c r="R143" i="1"/>
  <c r="R142" i="1"/>
  <c r="R141" i="1"/>
  <c r="R140" i="1"/>
  <c r="R139" i="1"/>
  <c r="R138" i="1"/>
  <c r="R137" i="1"/>
  <c r="R136" i="1"/>
  <c r="R135" i="1"/>
  <c r="R134" i="1"/>
  <c r="R133" i="1"/>
  <c r="R132" i="1"/>
  <c r="R131" i="1"/>
  <c r="R130" i="1"/>
  <c r="R129" i="1"/>
  <c r="H14" i="1"/>
  <c r="I14" i="1"/>
  <c r="K14" i="1"/>
  <c r="L14" i="1"/>
  <c r="N14" i="1"/>
  <c r="O14" i="1"/>
  <c r="Q14" i="1"/>
  <c r="R14" i="1"/>
  <c r="T14" i="1"/>
  <c r="U14" i="1"/>
  <c r="V14" i="1"/>
  <c r="W14" i="1"/>
  <c r="X14" i="1"/>
  <c r="S14" i="1"/>
  <c r="P14" i="1"/>
  <c r="M14" i="1"/>
  <c r="J14" i="1"/>
  <c r="M2" i="6"/>
  <c r="L2" i="6"/>
  <c r="J2" i="6"/>
  <c r="I2" i="6"/>
  <c r="H2" i="6"/>
  <c r="G2" i="6"/>
  <c r="F2" i="6"/>
  <c r="E2" i="6"/>
  <c r="D2" i="6"/>
  <c r="C2" i="6"/>
  <c r="B2" i="6"/>
  <c r="N5" i="5"/>
  <c r="M5" i="5"/>
  <c r="L5" i="5"/>
  <c r="K5" i="5"/>
  <c r="J5" i="5"/>
  <c r="I5" i="5"/>
  <c r="H5" i="5"/>
  <c r="G5" i="5"/>
  <c r="F5" i="5"/>
  <c r="E131" i="1"/>
  <c r="E5" i="5"/>
  <c r="D5" i="5"/>
  <c r="C5" i="5"/>
  <c r="B5" i="5"/>
  <c r="N12" i="5"/>
  <c r="M12" i="5"/>
  <c r="L12" i="5"/>
  <c r="K12" i="5"/>
  <c r="J12" i="5"/>
  <c r="I12" i="5"/>
  <c r="H12" i="5"/>
  <c r="G12" i="5"/>
  <c r="F12" i="5"/>
  <c r="E141" i="1"/>
  <c r="E12" i="5"/>
  <c r="D12" i="5"/>
  <c r="C12" i="5"/>
  <c r="B12" i="5"/>
  <c r="N128" i="1"/>
  <c r="N3" i="5"/>
  <c r="M128" i="1"/>
  <c r="M3" i="5"/>
  <c r="L128" i="1"/>
  <c r="L3" i="5"/>
  <c r="K3" i="5"/>
  <c r="J128" i="1"/>
  <c r="J3" i="5"/>
  <c r="I128" i="1"/>
  <c r="I3" i="5"/>
  <c r="H128" i="1"/>
  <c r="H3" i="5"/>
  <c r="G128" i="1"/>
  <c r="G3" i="5"/>
  <c r="F128" i="1"/>
  <c r="F3" i="5"/>
  <c r="E128" i="1"/>
  <c r="E3" i="5"/>
  <c r="D3" i="5"/>
  <c r="C3" i="5"/>
  <c r="B3" i="5"/>
  <c r="N6" i="5"/>
  <c r="M6" i="5"/>
  <c r="L6" i="5"/>
  <c r="K6" i="5"/>
  <c r="J6" i="5"/>
  <c r="I6" i="5"/>
  <c r="H6" i="5"/>
  <c r="G6" i="5"/>
  <c r="F6" i="5"/>
  <c r="E134" i="1"/>
  <c r="E6" i="5"/>
  <c r="D6" i="5"/>
  <c r="C6" i="5"/>
  <c r="B6" i="5"/>
  <c r="N8" i="5"/>
  <c r="M8" i="5"/>
  <c r="L8" i="5"/>
  <c r="K8" i="5"/>
  <c r="J8" i="5"/>
  <c r="I8" i="5"/>
  <c r="H8" i="5"/>
  <c r="G8" i="5"/>
  <c r="F8" i="5"/>
  <c r="E137" i="1"/>
  <c r="E8" i="5"/>
  <c r="D8" i="5"/>
  <c r="C8" i="5"/>
  <c r="B8" i="5"/>
  <c r="N129" i="1"/>
  <c r="N16" i="5"/>
  <c r="M129" i="1"/>
  <c r="M16" i="5"/>
  <c r="L129" i="1"/>
  <c r="L16" i="5"/>
  <c r="K129" i="1"/>
  <c r="K16" i="5"/>
  <c r="J129" i="1"/>
  <c r="J16" i="5"/>
  <c r="I129" i="1"/>
  <c r="I16" i="5"/>
  <c r="H129" i="1"/>
  <c r="H16" i="5"/>
  <c r="G129" i="1"/>
  <c r="G16" i="5"/>
  <c r="F129" i="1"/>
  <c r="F16" i="5"/>
  <c r="E129" i="1"/>
  <c r="E16" i="5"/>
  <c r="D16" i="5"/>
  <c r="C16" i="5"/>
  <c r="B16" i="5"/>
  <c r="N18" i="5"/>
  <c r="M18" i="5"/>
  <c r="L18" i="5"/>
  <c r="K18" i="5"/>
  <c r="J18" i="5"/>
  <c r="I18" i="5"/>
  <c r="H18" i="5"/>
  <c r="G18" i="5"/>
  <c r="F18" i="5"/>
  <c r="E143" i="1"/>
  <c r="E18" i="5"/>
  <c r="D18" i="5"/>
  <c r="C18" i="5"/>
  <c r="B18" i="5"/>
  <c r="N10" i="5"/>
  <c r="M10" i="5"/>
  <c r="L10" i="5"/>
  <c r="K10" i="5"/>
  <c r="J10" i="5"/>
  <c r="I10" i="5"/>
  <c r="H10" i="5"/>
  <c r="G10" i="5"/>
  <c r="F10" i="5"/>
  <c r="E140" i="1"/>
  <c r="E10" i="5"/>
  <c r="D10" i="5"/>
  <c r="C10" i="5"/>
  <c r="B10" i="5"/>
  <c r="N9" i="5"/>
  <c r="M9" i="5"/>
  <c r="L9" i="5"/>
  <c r="K9" i="5"/>
  <c r="J9" i="5"/>
  <c r="I9" i="5"/>
  <c r="H9" i="5"/>
  <c r="G9" i="5"/>
  <c r="F9" i="5"/>
  <c r="E135" i="1"/>
  <c r="E9" i="5"/>
  <c r="D9" i="5"/>
  <c r="C9" i="5"/>
  <c r="B9" i="5"/>
  <c r="N7" i="5"/>
  <c r="M7" i="5"/>
  <c r="L7" i="5"/>
  <c r="K7" i="5"/>
  <c r="J7" i="5"/>
  <c r="I7" i="5"/>
  <c r="H7" i="5"/>
  <c r="G7" i="5"/>
  <c r="F7" i="5"/>
  <c r="E132" i="1"/>
  <c r="E7" i="5"/>
  <c r="D7" i="5"/>
  <c r="C7" i="5"/>
  <c r="B7" i="5"/>
  <c r="N11" i="5"/>
  <c r="M11" i="5"/>
  <c r="L11" i="5"/>
  <c r="K11" i="5"/>
  <c r="J11" i="5"/>
  <c r="I11" i="5"/>
  <c r="H11" i="5"/>
  <c r="G11" i="5"/>
  <c r="F11" i="5"/>
  <c r="E138" i="1"/>
  <c r="E11" i="5"/>
  <c r="D11" i="5"/>
  <c r="C11" i="5"/>
  <c r="B11" i="5"/>
  <c r="N4" i="5"/>
  <c r="M4" i="5"/>
  <c r="L4" i="5"/>
  <c r="K4" i="5"/>
  <c r="J4" i="5"/>
  <c r="I4" i="5"/>
  <c r="H4" i="5"/>
  <c r="G4" i="5"/>
  <c r="F4" i="5"/>
  <c r="E145" i="1"/>
  <c r="E4" i="5"/>
  <c r="D4" i="5"/>
  <c r="C4" i="5"/>
  <c r="B4" i="5"/>
  <c r="N15" i="5"/>
  <c r="M15" i="5"/>
  <c r="L15" i="5"/>
  <c r="K15" i="5"/>
  <c r="J15" i="5"/>
  <c r="I15" i="5"/>
  <c r="H15" i="5"/>
  <c r="G15" i="5"/>
  <c r="F15" i="5"/>
  <c r="E142" i="1"/>
  <c r="E15" i="5"/>
  <c r="D15" i="5"/>
  <c r="C15" i="5"/>
  <c r="B15" i="5"/>
  <c r="R128" i="1"/>
  <c r="A7" i="2"/>
  <c r="A11" i="2"/>
  <c r="A10" i="2"/>
  <c r="A6" i="2"/>
  <c r="A5" i="2"/>
  <c r="A4" i="2"/>
  <c r="A3" i="2"/>
  <c r="D3" i="1"/>
  <c r="B118" i="1"/>
  <c r="B117" i="1"/>
  <c r="B116" i="1"/>
  <c r="B113" i="1"/>
  <c r="B112" i="1"/>
  <c r="B111" i="1"/>
  <c r="B110" i="1"/>
  <c r="B109" i="1"/>
  <c r="D14" i="1"/>
  <c r="Y14" i="1"/>
</calcChain>
</file>

<file path=xl/comments1.xml><?xml version="1.0" encoding="utf-8"?>
<comments xmlns="http://schemas.openxmlformats.org/spreadsheetml/2006/main">
  <authors>
    <author>Sam Fleming</author>
  </authors>
  <commentList>
    <comment ref="A11" authorId="0">
      <text>
        <r>
          <rPr>
            <sz val="10"/>
            <color indexed="81"/>
            <rFont val="Calibri"/>
          </rPr>
          <t>How much of the forest do you need data for? You may wish to focus on a specific block of interest (one block), look at a number of focused stands or pockets in a similar area of the forest (clustered), or be able to look at a number of focused stands or pockets spread throughout the forest (disparate).</t>
        </r>
      </text>
    </comment>
    <comment ref="A18" authorId="0">
      <text>
        <r>
          <rPr>
            <sz val="10"/>
            <color indexed="81"/>
            <rFont val="Calibri"/>
          </rPr>
          <t>What is the level of detail you need from the data? This may be at or below the individual tree level (sub-metre or metre resolution) - providing data on individual trees, branches and stems, or you may be interested in stand level detail (high (1-30m) to medium resolution (30-100m)). If you only need detail at the wider landscape scale, low resolution (100m+) may be sufficient.</t>
        </r>
      </text>
    </comment>
    <comment ref="A19" authorId="0">
      <text>
        <r>
          <rPr>
            <sz val="10"/>
            <color indexed="81"/>
            <rFont val="Calibri"/>
          </rPr>
          <t>Do you need access to data that has previously been collected? For example, you may need to view the forest before it was affected by a wind event or disease outbreak, in order to be able to assess the scale of the damage. How far back do you need to be able to see? The further back you can go the more likely there will be data available for you</t>
        </r>
      </text>
    </comment>
    <comment ref="A20" authorId="0">
      <text>
        <r>
          <rPr>
            <sz val="10"/>
            <color indexed="81"/>
            <rFont val="Calibri"/>
          </rPr>
          <t>Do you need to collect new data? If so, how quickly do you need to be able to collect the data? This could range from within days up to longer than a year into the future.</t>
        </r>
      </text>
    </comment>
    <comment ref="A21" authorId="0">
      <text>
        <r>
          <rPr>
            <sz val="10"/>
            <color indexed="81"/>
            <rFont val="Calibri"/>
          </rPr>
          <t>How quickly do you need access to the data which you would like to be collected? Again, this could range from within days,  up to longer than a year into the future.</t>
        </r>
      </text>
    </comment>
    <comment ref="A22" authorId="0">
      <text>
        <r>
          <rPr>
            <sz val="10"/>
            <color indexed="81"/>
            <rFont val="Calibri"/>
          </rPr>
          <t>Do you need to collect data more than once? It could be that you just need two sets of data, one to show you the forest prior to an event, and one to show you the effect of that event. Alternatively, you may want to put in place regular monitoring slots which reoccur over the next weeks, months or years.</t>
        </r>
      </text>
    </comment>
  </commentList>
</comments>
</file>

<file path=xl/comments2.xml><?xml version="1.0" encoding="utf-8"?>
<comments xmlns="http://schemas.openxmlformats.org/spreadsheetml/2006/main">
  <authors>
    <author>Sam Fleming</author>
  </authors>
  <commentList>
    <comment ref="F1" authorId="0">
      <text>
        <r>
          <rPr>
            <sz val="10"/>
            <color indexed="81"/>
            <rFont val="Calibri"/>
          </rPr>
          <t>Do you need access to data that has previously been collected? For example, you may need to view the forest before it was affected by a wind event or disease outbreak, in order to be able to assess the scale of the damage. How far back do you need to be able to see? The further back you can go the more likely there will be data available for you</t>
        </r>
      </text>
    </comment>
    <comment ref="G1" authorId="0">
      <text>
        <r>
          <rPr>
            <sz val="10"/>
            <color indexed="81"/>
            <rFont val="Calibri"/>
          </rPr>
          <t>Do you need to collect new data? If so, how quickly do you need to be able to collect the data? This could range from within days up to longer than a year into the future.</t>
        </r>
      </text>
    </comment>
    <comment ref="H1" authorId="0">
      <text>
        <r>
          <rPr>
            <sz val="10"/>
            <color indexed="81"/>
            <rFont val="Calibri"/>
          </rPr>
          <t>How quickly do you need access to the data which you would like to be collected? Again, this could range from within days,  up to longer than a year into the future.</t>
        </r>
      </text>
    </comment>
    <comment ref="I1" authorId="0">
      <text>
        <r>
          <rPr>
            <sz val="10"/>
            <color indexed="81"/>
            <rFont val="Calibri"/>
          </rPr>
          <t>Do you need to collect data more than once? It could be that you just need two sets of data, one to show you the forest prior to an event, and one to show you the effect of that event. Alternatively, you may want to put in place regular monitoring slots which reoccur over the next weeks, months or years.</t>
        </r>
      </text>
    </comment>
    <comment ref="J1" authorId="0">
      <text>
        <r>
          <rPr>
            <sz val="10"/>
            <color indexed="81"/>
            <rFont val="Calibri"/>
          </rPr>
          <t>What is the level of detail you need from the data? This may be at or below the individual tree level (sub-metre or metre resolution) - providing data on individual trees, branches and stems, or you may be interested in stand level detail (high (1-30m) to medium resolution (30-100m)). If you only need detail at the wider landscape scale, low resolution (100m+) may be sufficient.</t>
        </r>
      </text>
    </comment>
    <comment ref="L1" authorId="0">
      <text>
        <r>
          <rPr>
            <sz val="10"/>
            <color indexed="81"/>
            <rFont val="Calibri"/>
          </rPr>
          <t>How much of the forest do you need data for? You may wish to focus on a specific block of interest (one block), look at a number of focused stands or pockets in a similar area of the forest (clustered), or be able to look at a number of focused stands or pockets spread throughout the forest (disparate).</t>
        </r>
      </text>
    </comment>
    <comment ref="M1" authorId="0">
      <text>
        <r>
          <rPr>
            <sz val="10"/>
            <color indexed="81"/>
            <rFont val="Calibri"/>
          </rPr>
          <t>Structural data provides 3D information on the forest, providing detail on individual tree and canopy structure and, in some cases, information about the topography of the forest floor.</t>
        </r>
      </text>
    </comment>
    <comment ref="N1" authorId="0">
      <text>
        <r>
          <rPr>
            <sz val="10"/>
            <color indexed="81"/>
            <rFont val="Calibri"/>
          </rPr>
          <t>Spectral data provides 2D images of the forest from above. Images vary in the level of detail they provide, with some giving an overview of the different land uses in a landscape, while others provide finer detail on the species coverage and the individual trees of a stand or block.</t>
        </r>
      </text>
    </comment>
    <comment ref="O1" authorId="0">
      <text>
        <r>
          <rPr>
            <sz val="10"/>
            <color indexed="81"/>
            <rFont val="Calibri"/>
          </rPr>
          <t>This gives an idea of the level of detail which can be provided by structural data. This can vary from measuring tree height and structure (1 metre), down to providing detail on individual tree branches and leaves (30cm to 10cm and under)</t>
        </r>
      </text>
    </comment>
    <comment ref="P1" authorId="0">
      <text>
        <r>
          <rPr>
            <sz val="10"/>
            <color indexed="81"/>
            <rFont val="Calibri"/>
          </rPr>
          <t>This gives an idea of the level of detail which can be provided by spectral data. This can vary from picking out individual trees (high) to providing an overview of stands or landscapes (medium).</t>
        </r>
      </text>
    </comment>
  </commentList>
</comments>
</file>

<file path=xl/comments3.xml><?xml version="1.0" encoding="utf-8"?>
<comments xmlns="http://schemas.openxmlformats.org/spreadsheetml/2006/main">
  <authors>
    <author>Sam Fleming</author>
  </authors>
  <commentList>
    <comment ref="E1" authorId="0">
      <text>
        <r>
          <rPr>
            <sz val="10"/>
            <color indexed="81"/>
            <rFont val="Calibri"/>
          </rPr>
          <t>Do you need access to data that has previously been collected? For example, you may need to view the forest before it was affected by a wind event or disease outbreak, in order to be able to assess the scale of the damage. How far back do you need to be able to see? The further back you can go the more likely there will be data available for you</t>
        </r>
      </text>
    </comment>
    <comment ref="F1" authorId="0">
      <text>
        <r>
          <rPr>
            <sz val="10"/>
            <color indexed="81"/>
            <rFont val="Calibri"/>
          </rPr>
          <t>Do you need to collect new data? If so, how quickly do you need to be able to collect the data? This could range from within days up to longer than a year into the future.</t>
        </r>
      </text>
    </comment>
    <comment ref="G1" authorId="0">
      <text>
        <r>
          <rPr>
            <sz val="10"/>
            <color indexed="81"/>
            <rFont val="Calibri"/>
          </rPr>
          <t>How quickly do you need access to the data which you would like to be collected? Again, this could range from within days,  up to longer than a year into the future.</t>
        </r>
      </text>
    </comment>
    <comment ref="H1" authorId="0">
      <text>
        <r>
          <rPr>
            <sz val="10"/>
            <color indexed="81"/>
            <rFont val="Calibri"/>
          </rPr>
          <t>Do you need to collect data more than once? It could be that you just need two sets of data, one to show you the forest prior to an event, and one to show you the effect of that event. Alternatively, you may want to put in place regular monitoring slots which reoccur over the next weeks, months or years.</t>
        </r>
      </text>
    </comment>
    <comment ref="I1" authorId="0">
      <text>
        <r>
          <rPr>
            <sz val="10"/>
            <color indexed="81"/>
            <rFont val="Calibri"/>
          </rPr>
          <t>What is the level of detail you need from the data? This may be at or below the individual tree level (sub-metre or metre resolution) - providing data on individual trees, branches and stems, or you may be interested in stand level detail (high (1-30m) to medium resolution (30-100m)). If you only need detail at the wider landscape scale, low resolution (100m+) may be sufficient.</t>
        </r>
      </text>
    </comment>
    <comment ref="K1" authorId="0">
      <text>
        <r>
          <rPr>
            <sz val="10"/>
            <color indexed="81"/>
            <rFont val="Calibri"/>
          </rPr>
          <t>How much of the forest do you need data for? You may wish to focus on a specific block of interest (one block), look at a number of focused stands or pockets in a similar area of the forest (clustered), or be able to look at a number of focused stands or pockets spread throughout the forest (disparate).</t>
        </r>
      </text>
    </comment>
    <comment ref="L1" authorId="0">
      <text>
        <r>
          <rPr>
            <sz val="10"/>
            <color indexed="81"/>
            <rFont val="Calibri"/>
          </rPr>
          <t>Structural data provides 3D information on the forest, providing detail on individual tree and canopy structure and, in some cases, information about the topography of the forest floor.</t>
        </r>
      </text>
    </comment>
    <comment ref="M1" authorId="0">
      <text>
        <r>
          <rPr>
            <sz val="10"/>
            <color indexed="81"/>
            <rFont val="Calibri"/>
          </rPr>
          <t>Spectral data provides 2D images of the forest from above. Images vary in the level of detail they provide, with some giving an overview of the different land uses in a landscape, while others provide finer detail on the species coverage and the individual trees of a stand or block.</t>
        </r>
      </text>
    </comment>
    <comment ref="N1" authorId="0">
      <text>
        <r>
          <rPr>
            <sz val="10"/>
            <color indexed="81"/>
            <rFont val="Calibri"/>
          </rPr>
          <t>This gives an idea of the level of detail which can be provided by structural data. This can vary from measuring tree height and structure (1 metre), down to providing detail on individual tree branches and leaves (30cm to 10cm and under)</t>
        </r>
      </text>
    </comment>
    <comment ref="O1" authorId="0">
      <text>
        <r>
          <rPr>
            <sz val="10"/>
            <color indexed="81"/>
            <rFont val="Calibri"/>
          </rPr>
          <t>This gives an idea of the level of detail which can be provided by spectral data. This can vary from picking out individual trees (high) to providing an overview of stands or landscapes (medium).</t>
        </r>
      </text>
    </comment>
    <comment ref="E5" authorId="0">
      <text>
        <r>
          <rPr>
            <sz val="10"/>
            <color indexed="81"/>
            <rFont val="Calibri"/>
          </rPr>
          <t>Do you need access to data that has previously been collected? For example, you may need to view the forest before it was affected by a wind event or disease outbreak, in order to be able to assess the scale of the damage. How far back do you need to be able to see? The further back you can go the more likely there will be data available for you</t>
        </r>
      </text>
    </comment>
    <comment ref="F5" authorId="0">
      <text>
        <r>
          <rPr>
            <sz val="10"/>
            <color indexed="81"/>
            <rFont val="Calibri"/>
          </rPr>
          <t>Do you need to collect new data? If so, how quickly do you need to be able to collect the data? This could range from within days up to longer than a year into the future.</t>
        </r>
      </text>
    </comment>
    <comment ref="G5" authorId="0">
      <text>
        <r>
          <rPr>
            <sz val="10"/>
            <color indexed="81"/>
            <rFont val="Calibri"/>
          </rPr>
          <t>How quickly do you need access to the data which you would like to be collected? Again, this could range from within days,  up to longer than a year into the future.</t>
        </r>
      </text>
    </comment>
    <comment ref="H5" authorId="0">
      <text>
        <r>
          <rPr>
            <sz val="10"/>
            <color indexed="81"/>
            <rFont val="Calibri"/>
          </rPr>
          <t>Do you need to collect data more than once? It could be that you just need two sets of data, one to show you the forest prior to an event, and one to show you the effect of that event. Alternatively, you may want to put in place regular monitoring slots which reoccur over the next weeks, months or years.</t>
        </r>
      </text>
    </comment>
    <comment ref="I5" authorId="0">
      <text>
        <r>
          <rPr>
            <sz val="10"/>
            <color indexed="81"/>
            <rFont val="Calibri"/>
          </rPr>
          <t>What is the level of detail you need from the data? This may be at or below the individual tree level (sub-metre or metre resolution) - providing data on individual trees, branches and stems, or you may be interested in stand level detail (high (1-30m) to medium resolution (30-100m)). If you only need detail at the wider landscape scale, low resolution (100m+) may be sufficient.</t>
        </r>
      </text>
    </comment>
    <comment ref="K5" authorId="0">
      <text>
        <r>
          <rPr>
            <sz val="10"/>
            <color indexed="81"/>
            <rFont val="Calibri"/>
          </rPr>
          <t>How much of the forest do you need data for? You may wish to focus on a specific block of interest (one block), look at a number of focused stands or pockets in a similar area of the forest (clustered), or be able to look at a number of focused stands or pockets spread throughout the forest (disparate).</t>
        </r>
      </text>
    </comment>
    <comment ref="L5" authorId="0">
      <text>
        <r>
          <rPr>
            <sz val="10"/>
            <color indexed="81"/>
            <rFont val="Calibri"/>
          </rPr>
          <t>Structural data provides 3D information on the forest, providing detail on individual tree and canopy structure and, in some cases, information about the topography of the forest floor.</t>
        </r>
      </text>
    </comment>
    <comment ref="M5" authorId="0">
      <text>
        <r>
          <rPr>
            <sz val="10"/>
            <color indexed="81"/>
            <rFont val="Calibri"/>
          </rPr>
          <t>Spectral data provides 2D images of the forest from above. Images vary in the level of detail they provide, with some giving an overview of the different land uses in a landscape, while others provide finer detail on the species coverage and the individual trees of a stand or block.</t>
        </r>
      </text>
    </comment>
    <comment ref="N5" authorId="0">
      <text>
        <r>
          <rPr>
            <sz val="10"/>
            <color indexed="81"/>
            <rFont val="Calibri"/>
          </rPr>
          <t>This gives an idea of the level of detail which can be provided by structural data. This can vary from measuring tree height and structure (1 metre), down to providing detail on individual tree branches and leaves (30cm to 10cm and under)</t>
        </r>
      </text>
    </comment>
    <comment ref="O5" authorId="0">
      <text>
        <r>
          <rPr>
            <sz val="10"/>
            <color indexed="81"/>
            <rFont val="Calibri"/>
          </rPr>
          <t>This gives an idea of the level of detail which can be provided by spectral data. This can vary from picking out individual trees (high) to providing an overview of stands or landscapes (medium).</t>
        </r>
      </text>
    </comment>
  </commentList>
</comments>
</file>

<file path=xl/sharedStrings.xml><?xml version="1.0" encoding="utf-8"?>
<sst xmlns="http://schemas.openxmlformats.org/spreadsheetml/2006/main" count="665" uniqueCount="231">
  <si>
    <t>Factor</t>
  </si>
  <si>
    <t>Cost</t>
  </si>
  <si>
    <t>Past Data</t>
  </si>
  <si>
    <t>Future Data</t>
  </si>
  <si>
    <t>Access</t>
  </si>
  <si>
    <t>Frequency</t>
  </si>
  <si>
    <t>Area</t>
  </si>
  <si>
    <t>Distribution</t>
  </si>
  <si>
    <t>Metrics</t>
  </si>
  <si>
    <t>Category</t>
  </si>
  <si>
    <t>Yesterday</t>
  </si>
  <si>
    <t>Past week</t>
  </si>
  <si>
    <t>Past 2 weeks</t>
  </si>
  <si>
    <t>Past month</t>
  </si>
  <si>
    <t>Past season</t>
  </si>
  <si>
    <t>Past 6 months</t>
  </si>
  <si>
    <t>Past year</t>
  </si>
  <si>
    <t>Longer</t>
  </si>
  <si>
    <t>None</t>
  </si>
  <si>
    <t>Next Year</t>
  </si>
  <si>
    <t>Next 6 months</t>
  </si>
  <si>
    <t>This Season</t>
  </si>
  <si>
    <t>This Week</t>
  </si>
  <si>
    <t>Now/Tomorrow/ASAP</t>
  </si>
  <si>
    <t>Days</t>
  </si>
  <si>
    <t>1 to 2 weeks</t>
  </si>
  <si>
    <t>Up to 1 month</t>
  </si>
  <si>
    <t>Up to 2 months</t>
  </si>
  <si>
    <t>2 to 6 months</t>
  </si>
  <si>
    <t>In the next year</t>
  </si>
  <si>
    <t>One-off</t>
  </si>
  <si>
    <t>Time Period Comparison (2 points)</t>
  </si>
  <si>
    <t>Daily</t>
  </si>
  <si>
    <t>Weekly</t>
  </si>
  <si>
    <t>Monthly</t>
  </si>
  <si>
    <t>Seasonally / Quarterly</t>
  </si>
  <si>
    <t>Biannually</t>
  </si>
  <si>
    <t>Annually</t>
  </si>
  <si>
    <t>1 to 5 years</t>
  </si>
  <si>
    <t>5+ years</t>
  </si>
  <si>
    <t>Sub-Metre</t>
  </si>
  <si>
    <t>Metre</t>
  </si>
  <si>
    <t>High Resolution (1 to 30 m)</t>
  </si>
  <si>
    <t>Medium Resolution (30 to 100 m)</t>
  </si>
  <si>
    <t>Low Resolution (100+ m)</t>
  </si>
  <si>
    <t>Stand (1 to 10 km2)</t>
  </si>
  <si>
    <t>Landscape (10 to 100 km2)</t>
  </si>
  <si>
    <t>Regional (100+ km2)</t>
  </si>
  <si>
    <t>Structural</t>
  </si>
  <si>
    <t>Spectral</t>
  </si>
  <si>
    <t>Selection</t>
  </si>
  <si>
    <t>Fieldwork</t>
  </si>
  <si>
    <t>Multi-Rotor Imagery</t>
  </si>
  <si>
    <t>Multi-Rotor LiDAR</t>
  </si>
  <si>
    <t>Fixed-Wing LiDAR</t>
  </si>
  <si>
    <t>Fixed-Wing Imagery</t>
  </si>
  <si>
    <t>Helicopter Imagery</t>
  </si>
  <si>
    <t>Helicopter LiDAR</t>
  </si>
  <si>
    <t>Airborne Imagery</t>
  </si>
  <si>
    <t>Airborne LiDAR</t>
  </si>
  <si>
    <t>Airborne Radar</t>
  </si>
  <si>
    <t>High Resolution Satellite Imagery</t>
  </si>
  <si>
    <t>Satellite Radar</t>
  </si>
  <si>
    <t>Structural Metrics</t>
  </si>
  <si>
    <t>Spectral Metrics</t>
  </si>
  <si>
    <t>Totals</t>
  </si>
  <si>
    <t>Factor #</t>
  </si>
  <si>
    <t>Gaussian Factor</t>
  </si>
  <si>
    <t>Factor Selected</t>
  </si>
  <si>
    <t>Factor Index</t>
  </si>
  <si>
    <t>Check Column</t>
  </si>
  <si>
    <t>Normalised Factor</t>
  </si>
  <si>
    <t>Priority</t>
  </si>
  <si>
    <t>Factor Priority</t>
  </si>
  <si>
    <t>Max Value</t>
  </si>
  <si>
    <t>Solution</t>
  </si>
  <si>
    <t>Compatibility</t>
  </si>
  <si>
    <t>Area (ha)</t>
  </si>
  <si>
    <t>Area (km2)</t>
  </si>
  <si>
    <t>m2</t>
  </si>
  <si>
    <t>c2</t>
  </si>
  <si>
    <t>Cost Rank</t>
  </si>
  <si>
    <t>Cost Score</t>
  </si>
  <si>
    <t>Cost per hectare (£/ha)</t>
  </si>
  <si>
    <t>Max Cost (£)</t>
  </si>
  <si>
    <t>Calculation Variables</t>
  </si>
  <si>
    <t>Flexibility</t>
  </si>
  <si>
    <t>Factor Flexibilty</t>
  </si>
  <si>
    <t>What priority do you give to the cost?</t>
  </si>
  <si>
    <t>How flexible are you around your desired cost?</t>
  </si>
  <si>
    <t>Total Priority</t>
  </si>
  <si>
    <t>Column #</t>
  </si>
  <si>
    <t>totalcost</t>
  </si>
  <si>
    <t>costperha</t>
  </si>
  <si>
    <t>pastdata</t>
  </si>
  <si>
    <t>futuredata</t>
  </si>
  <si>
    <t>dataaccess</t>
  </si>
  <si>
    <t>datafrequency</t>
  </si>
  <si>
    <t>aoidistribution</t>
  </si>
  <si>
    <t>structuralmetrics</t>
  </si>
  <si>
    <t>spectralmetrics</t>
  </si>
  <si>
    <t>costpercent</t>
  </si>
  <si>
    <t>Checks</t>
  </si>
  <si>
    <t>What is the distribution of your areas of interest?</t>
  </si>
  <si>
    <t>Key Questions</t>
  </si>
  <si>
    <t>Further Questions</t>
  </si>
  <si>
    <t>Selections</t>
  </si>
  <si>
    <t>Please enter your maximum cost (£) and the units:
(e.g. total cost, or £ per hectare)</t>
  </si>
  <si>
    <t>Storm event</t>
  </si>
  <si>
    <t>Disease outbreak</t>
  </si>
  <si>
    <t>Woodland Carbon Code monitoring</t>
  </si>
  <si>
    <t>?</t>
  </si>
  <si>
    <t>Spatial Resolution</t>
  </si>
  <si>
    <t>Plot (1 ha to 1 km2)</t>
  </si>
  <si>
    <t>spatialresolution</t>
  </si>
  <si>
    <t>How flexible are you on mapping this exact total area?</t>
  </si>
  <si>
    <t>Scenarios</t>
  </si>
  <si>
    <t>Total Cost</t>
  </si>
  <si>
    <t>Cost Per Hectare</t>
  </si>
  <si>
    <t>Cost Match</t>
  </si>
  <si>
    <t>Past Data Match</t>
  </si>
  <si>
    <t>Future Data Match</t>
  </si>
  <si>
    <t>Data Access Match</t>
  </si>
  <si>
    <t>Data Frequency Match</t>
  </si>
  <si>
    <t>Spatial Resolution Match</t>
  </si>
  <si>
    <t>Area Coverage Match</t>
  </si>
  <si>
    <t>Area Distribution Match</t>
  </si>
  <si>
    <t>Structural Metric Match</t>
  </si>
  <si>
    <t>Spectral Metric Match</t>
  </si>
  <si>
    <t>Please select your forest monitoring scenario:</t>
  </si>
  <si>
    <t>Rank</t>
  </si>
  <si>
    <t>Information</t>
  </si>
  <si>
    <t>Priority is the priority to which you give the factor. E.g. having quick access might be high priority, but resolution might be low priority.</t>
  </si>
  <si>
    <t>Your Requirements</t>
  </si>
  <si>
    <t>Data Access</t>
  </si>
  <si>
    <t>Data Frequency</t>
  </si>
  <si>
    <t>Area Coverage</t>
  </si>
  <si>
    <t>Area Distribution</t>
  </si>
  <si>
    <t>Structural Metric</t>
  </si>
  <si>
    <t>Spectral Metric</t>
  </si>
  <si>
    <t>Scenario</t>
  </si>
  <si>
    <t>30m</t>
  </si>
  <si>
    <t>Sub-Metre Equivalent</t>
  </si>
  <si>
    <t>Up to stand level coverage</t>
  </si>
  <si>
    <t>Up to landscape scale coverage</t>
  </si>
  <si>
    <t>No</t>
  </si>
  <si>
    <t>Yes - low quality</t>
  </si>
  <si>
    <t>Yes</t>
  </si>
  <si>
    <t>Resolution</t>
  </si>
  <si>
    <t>All coverage can be met</t>
  </si>
  <si>
    <t>Only previously commission</t>
  </si>
  <si>
    <t>Commissioned</t>
  </si>
  <si>
    <t>1-2 weeks</t>
  </si>
  <si>
    <t>ASAP</t>
  </si>
  <si>
    <t>This week, provider dependent</t>
  </si>
  <si>
    <t>Within 1 week</t>
  </si>
  <si>
    <t>Within 2 weeks</t>
  </si>
  <si>
    <t>Within 1 month</t>
  </si>
  <si>
    <t>Within 2 months</t>
  </si>
  <si>
    <t>Monthly, provider dependent</t>
  </si>
  <si>
    <t>Weekly, provider dependent</t>
  </si>
  <si>
    <t>Multi-Rotor Hyperspectral</t>
  </si>
  <si>
    <t>Fixed-Wing Hyperspectral</t>
  </si>
  <si>
    <t>Helicopter Hyperspectral</t>
  </si>
  <si>
    <t>Airborne Hyperspectral</t>
  </si>
  <si>
    <t>Satellite Hyperspectral</t>
  </si>
  <si>
    <t>Spectral Accuracy</t>
  </si>
  <si>
    <t>Structural Accuracy</t>
  </si>
  <si>
    <t>30cm - 1m (medium)</t>
  </si>
  <si>
    <t>Less than 10cm (best)</t>
  </si>
  <si>
    <t>Less than 30cm (better)</t>
  </si>
  <si>
    <t>Greater than a metre (lowest)</t>
  </si>
  <si>
    <t>High</t>
  </si>
  <si>
    <t>Medium</t>
  </si>
  <si>
    <t>Low</t>
  </si>
  <si>
    <t>structuralaccuracy</t>
  </si>
  <si>
    <t>spectralaccuracy</t>
  </si>
  <si>
    <t>Less than 30cm</t>
  </si>
  <si>
    <t>Less than 10cm</t>
  </si>
  <si>
    <t>30cm - 1m</t>
  </si>
  <si>
    <t>Less than 10cm equivalent</t>
  </si>
  <si>
    <t>High equivalent</t>
  </si>
  <si>
    <t>Cost Questions</t>
  </si>
  <si>
    <t>Area Questions</t>
  </si>
  <si>
    <t>Please enter the total area over which your AOIs are distributed, and choose the units:</t>
  </si>
  <si>
    <t>Do you have a budget, a rough cost requirement, or a maximum cost in mind?</t>
  </si>
  <si>
    <t>One Continuous Block</t>
  </si>
  <si>
    <t>Clustered Pockets</t>
  </si>
  <si>
    <t>Disparate Pockets</t>
  </si>
  <si>
    <t>*please select*</t>
  </si>
  <si>
    <t>Once you have completed the dropdowns please select the 'Results' and 'Summary' tab to see a list of the best remote sensing solutions for your requirements.</t>
  </si>
  <si>
    <t>AOI Area (hectares)</t>
  </si>
  <si>
    <t>Total Area (hectares)</t>
  </si>
  <si>
    <t>What is the amount of area your Areas of Interest cover? Please choose the units:</t>
  </si>
  <si>
    <t>AOI</t>
  </si>
  <si>
    <t>AOI (ha)</t>
  </si>
  <si>
    <t>AOI (km2)</t>
  </si>
  <si>
    <t>Area Score</t>
  </si>
  <si>
    <t>area</t>
  </si>
  <si>
    <t>Low Priority</t>
  </si>
  <si>
    <t>High Priority</t>
  </si>
  <si>
    <t>How important is it to map the whole area?</t>
  </si>
  <si>
    <t>What priority would you give to the cost when picking the best solution?</t>
  </si>
  <si>
    <t>How flexible are you around your budget?</t>
  </si>
  <si>
    <r>
      <t xml:space="preserve">If you need </t>
    </r>
    <r>
      <rPr>
        <b/>
        <u/>
        <sz val="14"/>
        <color theme="0"/>
        <rFont val="Calibri (Body)"/>
      </rPr>
      <t>PAST</t>
    </r>
    <r>
      <rPr>
        <sz val="14"/>
        <color theme="0"/>
        <rFont val="Calibri"/>
        <family val="2"/>
        <scheme val="minor"/>
      </rPr>
      <t xml:space="preserve"> data, from when? How important is this? How flexible are you on the timing?</t>
    </r>
  </si>
  <si>
    <r>
      <t xml:space="preserve">How soon do you need </t>
    </r>
    <r>
      <rPr>
        <b/>
        <u/>
        <sz val="14"/>
        <color theme="0"/>
        <rFont val="Calibri (Body)"/>
      </rPr>
      <t>NEW</t>
    </r>
    <r>
      <rPr>
        <sz val="14"/>
        <color theme="0"/>
        <rFont val="Calibri"/>
        <family val="2"/>
        <scheme val="minor"/>
      </rPr>
      <t xml:space="preserve"> data? How important is this? How flexible are you on the timing</t>
    </r>
  </si>
  <si>
    <r>
      <t xml:space="preserve">How quickly do you need </t>
    </r>
    <r>
      <rPr>
        <b/>
        <u/>
        <sz val="14"/>
        <color theme="0"/>
        <rFont val="Calibri (Body)"/>
      </rPr>
      <t>ACCESS TO THE DATA</t>
    </r>
    <r>
      <rPr>
        <sz val="14"/>
        <color theme="0"/>
        <rFont val="Calibri"/>
        <family val="2"/>
        <scheme val="minor"/>
      </rPr>
      <t>? How important is this? How flexible are you on the timing?</t>
    </r>
  </si>
  <si>
    <r>
      <t xml:space="preserve">What is </t>
    </r>
    <r>
      <rPr>
        <b/>
        <u/>
        <sz val="14"/>
        <color theme="0"/>
        <rFont val="Calibri (Body)"/>
      </rPr>
      <t>SPATIAL RESOLUTION</t>
    </r>
    <r>
      <rPr>
        <sz val="14"/>
        <color theme="0"/>
        <rFont val="Calibri"/>
        <family val="2"/>
        <scheme val="minor"/>
      </rPr>
      <t xml:space="preserve"> of the data that you need?</t>
    </r>
  </si>
  <si>
    <r>
      <t xml:space="preserve">How </t>
    </r>
    <r>
      <rPr>
        <b/>
        <u/>
        <sz val="14"/>
        <color theme="0"/>
        <rFont val="Calibri (Body)"/>
      </rPr>
      <t>FREQUENTLY</t>
    </r>
    <r>
      <rPr>
        <sz val="14"/>
        <color theme="0"/>
        <rFont val="Calibri"/>
        <family val="2"/>
        <scheme val="minor"/>
      </rPr>
      <t xml:space="preserve"> do you intend to do this mapping exercise?</t>
    </r>
  </si>
  <si>
    <t>Medium Priority</t>
  </si>
  <si>
    <t>No flexibility</t>
  </si>
  <si>
    <t>Low flexibility</t>
  </si>
  <si>
    <t>Medium flexibility</t>
  </si>
  <si>
    <t>High flexibility</t>
  </si>
  <si>
    <t>Flexibilty is how much you are willing to compromise on your original choice. For example, if you cannot accept a resolution lower than your choice you would select 'Not flexibility'. If you select High flexible' then most options will be considered, with your primary choice being given highest priority.</t>
  </si>
  <si>
    <t>Introduction</t>
  </si>
  <si>
    <t>Priority and Flexibility</t>
  </si>
  <si>
    <t>Results and Answers</t>
  </si>
  <si>
    <t>How to use the tool</t>
  </si>
  <si>
    <t>Free-to-Access Satellite Imagery</t>
  </si>
  <si>
    <t>Days to 1 month</t>
  </si>
  <si>
    <t>Days to 1 months</t>
  </si>
  <si>
    <t>Day up to 1 month</t>
  </si>
  <si>
    <t>Days up to 1 month</t>
  </si>
  <si>
    <t>30m to 250m</t>
  </si>
  <si>
    <t>£ per hectare</t>
  </si>
  <si>
    <t>km2</t>
  </si>
  <si>
    <t xml:space="preserve">
This spreadsheet is a decision support tool designed to help provide you with more information about the different remote sensing solutions that are available to you.
You will be asked a short series of questions about your scenario and the support tool will suggest some of the most appropriate remote sensing solutions to meet your needs.
In addition you will be able to refer to the companion 'Report Cards'. These will provide you with a greater depth of information about each solution, and will also provide some advice for how you would go about obtaining this kind of data. A summary of the information can be found in the "Information Summary" document.
</t>
  </si>
  <si>
    <r>
      <t xml:space="preserve">
When you first open up the spreadsheet it will ask you to enable macros. You need to enable macros as this will allow the tool to process the information that you provide.
</t>
    </r>
    <r>
      <rPr>
        <b/>
        <sz val="16"/>
        <color rgb="FFFF0000"/>
        <rFont val="Calibri (Body)"/>
      </rPr>
      <t>If you don't enable macros this tool will not work.</t>
    </r>
    <r>
      <rPr>
        <sz val="16"/>
        <color theme="1"/>
        <rFont val="Calibri"/>
        <family val="2"/>
        <scheme val="minor"/>
      </rPr>
      <t xml:space="preserve">
Now navigate to the 'Data Input' tab, this will present you with a series of questions to answer, by selecting one of the drop-down options. You have to select one of the options from the existing drop-downs or the tool cannot understand your inputs. Please don't enter your own answers.
If the options don't match perfectly please try to select the most appropriate answer from those that are there. This tool is designed to meet a range of scenarios so the answers are intended to be broad.
The questions cover a number of topics including whether you have a budget or not, the area you are interested in, and some of the characteristics that you need from the data. Depending on what answers you give, the next questions and options may change.
</t>
    </r>
  </si>
  <si>
    <t xml:space="preserve">
Once you have completed all the questions, the box at the bottom will tell you that your results are ready.
On the 'Results' tab you will see a table that shows the different solutions and their % match against your priorities.
On the 'Summary' tab this will summarise the inputs that you have provided, and give more information about the characteristics of each solution, allowing you to make a comparison.
</t>
  </si>
  <si>
    <t xml:space="preserve">
As well as some questions about the characteristics you might require, the tool also asks about the priority and flexibility that you have for each.
Priority is the priority to which you give the factor. E.g. having quick access might be high priority, but resolution might be low priority.
Flexibility is how much you are willing to compromise on your original choice. For example, if you cannot accept a resolution lower than your choice you would select 'No flexibility'. If you select 'high flexibility' then most options will be considered, with your primary choice being given highest priority.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</si>
</sst>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0.0%"/>
    <numFmt numFmtId="165" formatCode="0.0"/>
    <numFmt numFmtId="166" formatCode="&quot;£&quot;#,##0"/>
    <numFmt numFmtId="167" formatCode="&quot;£&quot;#,##0.00"/>
  </numFmts>
  <fonts count="21" x14ac:knownFonts="1">
    <font>
      <sz val="12"/>
      <color theme="1"/>
      <name val="Calibri"/>
      <family val="2"/>
      <scheme val="minor"/>
    </font>
    <font>
      <sz val="12"/>
      <color theme="1"/>
      <name val="Calibri"/>
      <family val="2"/>
      <scheme val="minor"/>
    </font>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4"/>
      <color theme="1"/>
      <name val="Calibri"/>
      <family val="2"/>
      <scheme val="minor"/>
    </font>
    <font>
      <b/>
      <sz val="14"/>
      <color theme="1"/>
      <name val="Calibri"/>
      <family val="2"/>
      <scheme val="minor"/>
    </font>
    <font>
      <sz val="14"/>
      <color rgb="FF000000"/>
      <name val="Calibri"/>
      <family val="2"/>
      <scheme val="minor"/>
    </font>
    <font>
      <b/>
      <sz val="14"/>
      <color theme="0"/>
      <name val="Calibri"/>
      <family val="2"/>
      <scheme val="minor"/>
    </font>
    <font>
      <sz val="14"/>
      <color theme="0"/>
      <name val="Calibri"/>
      <family val="2"/>
      <scheme val="minor"/>
    </font>
    <font>
      <i/>
      <sz val="14"/>
      <color theme="1"/>
      <name val="Calibri"/>
      <scheme val="minor"/>
    </font>
    <font>
      <b/>
      <sz val="14"/>
      <color rgb="FFFF0000"/>
      <name val="Calibri"/>
      <family val="2"/>
      <scheme val="minor"/>
    </font>
    <font>
      <b/>
      <u/>
      <sz val="14"/>
      <color theme="0"/>
      <name val="Calibri (Body)"/>
    </font>
    <font>
      <sz val="10"/>
      <color indexed="81"/>
      <name val="Calibri"/>
    </font>
    <font>
      <sz val="16"/>
      <color theme="1"/>
      <name val="Calibri"/>
      <family val="2"/>
      <scheme val="minor"/>
    </font>
    <font>
      <b/>
      <sz val="16"/>
      <color theme="0"/>
      <name val="Calibri"/>
      <family val="2"/>
      <scheme val="minor"/>
    </font>
    <font>
      <sz val="13"/>
      <color rgb="FF303336"/>
      <name val="Consolas"/>
    </font>
    <font>
      <b/>
      <sz val="16"/>
      <color rgb="FFFF0000"/>
      <name val="Calibri (Body)"/>
    </font>
    <font>
      <i/>
      <sz val="12"/>
      <color theme="1"/>
      <name val="Calibri"/>
      <family val="2"/>
      <scheme val="minor"/>
    </font>
    <font>
      <b/>
      <i/>
      <sz val="12"/>
      <color theme="1"/>
      <name val="Calibri"/>
      <family val="2"/>
      <scheme val="minor"/>
    </font>
  </fonts>
  <fills count="9">
    <fill>
      <patternFill patternType="none"/>
    </fill>
    <fill>
      <patternFill patternType="gray125"/>
    </fill>
    <fill>
      <patternFill patternType="solid">
        <fgColor theme="2"/>
        <bgColor indexed="64"/>
      </patternFill>
    </fill>
    <fill>
      <patternFill patternType="solid">
        <fgColor rgb="FFFF0000"/>
        <bgColor indexed="64"/>
      </patternFill>
    </fill>
    <fill>
      <patternFill patternType="solid">
        <fgColor rgb="FFF5F5F5"/>
        <bgColor indexed="64"/>
      </patternFill>
    </fill>
    <fill>
      <patternFill patternType="solid">
        <fgColor rgb="FF778F98"/>
        <bgColor indexed="64"/>
      </patternFill>
    </fill>
    <fill>
      <patternFill patternType="solid">
        <fgColor rgb="FF8C9A66"/>
        <bgColor indexed="64"/>
      </patternFill>
    </fill>
    <fill>
      <patternFill patternType="solid">
        <fgColor rgb="FFFFC000"/>
        <bgColor indexed="64"/>
      </patternFill>
    </fill>
    <fill>
      <patternFill patternType="solid">
        <fgColor theme="0"/>
        <bgColor indexed="64"/>
      </patternFill>
    </fill>
  </fills>
  <borders count="83">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rgb="FF8C8E91"/>
      </left>
      <right style="medium">
        <color rgb="FF8C8E91"/>
      </right>
      <top style="medium">
        <color rgb="FF8C8E91"/>
      </top>
      <bottom style="medium">
        <color rgb="FF8C8E91"/>
      </bottom>
      <diagonal/>
    </border>
    <border>
      <left style="medium">
        <color rgb="FF8C8E91"/>
      </left>
      <right/>
      <top style="medium">
        <color rgb="FF8C8E91"/>
      </top>
      <bottom style="medium">
        <color rgb="FF8C8E91"/>
      </bottom>
      <diagonal/>
    </border>
    <border>
      <left/>
      <right style="medium">
        <color rgb="FF8C8E91"/>
      </right>
      <top style="medium">
        <color rgb="FF8C8E91"/>
      </top>
      <bottom style="medium">
        <color rgb="FF8C8E91"/>
      </bottom>
      <diagonal/>
    </border>
    <border>
      <left style="medium">
        <color rgb="FF8C8E91"/>
      </left>
      <right style="medium">
        <color rgb="FF8C8E91"/>
      </right>
      <top style="medium">
        <color rgb="FF8C8E91"/>
      </top>
      <bottom/>
      <diagonal/>
    </border>
    <border>
      <left style="medium">
        <color rgb="FF8C8E91"/>
      </left>
      <right style="medium">
        <color rgb="FF8C8E91"/>
      </right>
      <top/>
      <bottom/>
      <diagonal/>
    </border>
    <border>
      <left style="medium">
        <color rgb="FF8C8E91"/>
      </left>
      <right style="medium">
        <color rgb="FF8C8E91"/>
      </right>
      <top/>
      <bottom style="medium">
        <color rgb="FF8C8E91"/>
      </bottom>
      <diagonal/>
    </border>
    <border>
      <left style="medium">
        <color rgb="FF8C8E91"/>
      </left>
      <right/>
      <top style="medium">
        <color rgb="FF8C8E91"/>
      </top>
      <bottom/>
      <diagonal/>
    </border>
    <border>
      <left/>
      <right style="medium">
        <color rgb="FF8C8E91"/>
      </right>
      <top style="medium">
        <color rgb="FF8C8E91"/>
      </top>
      <bottom/>
      <diagonal/>
    </border>
    <border>
      <left style="medium">
        <color rgb="FF8C8E91"/>
      </left>
      <right/>
      <top/>
      <bottom/>
      <diagonal/>
    </border>
    <border>
      <left/>
      <right style="medium">
        <color rgb="FF8C8E91"/>
      </right>
      <top/>
      <bottom/>
      <diagonal/>
    </border>
    <border>
      <left style="medium">
        <color rgb="FF8C8E91"/>
      </left>
      <right/>
      <top/>
      <bottom style="medium">
        <color rgb="FF8C8E91"/>
      </bottom>
      <diagonal/>
    </border>
    <border>
      <left/>
      <right style="medium">
        <color rgb="FF8C8E91"/>
      </right>
      <top/>
      <bottom style="medium">
        <color rgb="FF8C8E91"/>
      </bottom>
      <diagonal/>
    </border>
    <border>
      <left/>
      <right/>
      <top style="medium">
        <color rgb="FF8C8E91"/>
      </top>
      <bottom/>
      <diagonal/>
    </border>
    <border>
      <left/>
      <right/>
      <top/>
      <bottom style="medium">
        <color rgb="FF8C8E91"/>
      </bottom>
      <diagonal/>
    </border>
    <border>
      <left/>
      <right/>
      <top style="medium">
        <color rgb="FF8C8E91"/>
      </top>
      <bottom style="medium">
        <color rgb="FF8C8E91"/>
      </bottom>
      <diagonal/>
    </border>
    <border>
      <left style="medium">
        <color rgb="FF8C8E91"/>
      </left>
      <right style="thin">
        <color rgb="FF8C8E91"/>
      </right>
      <top/>
      <bottom/>
      <diagonal/>
    </border>
    <border>
      <left style="medium">
        <color rgb="FF8C8E91"/>
      </left>
      <right style="thin">
        <color rgb="FF8C8E91"/>
      </right>
      <top/>
      <bottom style="medium">
        <color rgb="FF8C8E91"/>
      </bottom>
      <diagonal/>
    </border>
    <border>
      <left style="medium">
        <color rgb="FF8C8E91"/>
      </left>
      <right style="medium">
        <color rgb="FF8C8E91"/>
      </right>
      <top style="medium">
        <color rgb="FF8C8E91"/>
      </top>
      <bottom style="thin">
        <color rgb="FF8C8E91"/>
      </bottom>
      <diagonal/>
    </border>
    <border>
      <left style="medium">
        <color rgb="FF8C8E91"/>
      </left>
      <right style="medium">
        <color rgb="FF8C8E91"/>
      </right>
      <top/>
      <bottom style="thin">
        <color rgb="FF8C8E91"/>
      </bottom>
      <diagonal/>
    </border>
    <border>
      <left style="medium">
        <color rgb="FF8C8E91"/>
      </left>
      <right/>
      <top/>
      <bottom style="thin">
        <color rgb="FF8C8E91"/>
      </bottom>
      <diagonal/>
    </border>
    <border>
      <left/>
      <right/>
      <top/>
      <bottom style="thin">
        <color rgb="FF8C8E91"/>
      </bottom>
      <diagonal/>
    </border>
    <border>
      <left/>
      <right style="medium">
        <color rgb="FF8C8E91"/>
      </right>
      <top/>
      <bottom style="thin">
        <color rgb="FF8C8E91"/>
      </bottom>
      <diagonal/>
    </border>
    <border>
      <left style="medium">
        <color rgb="FF8C8E91"/>
      </left>
      <right/>
      <top style="medium">
        <color rgb="FF8C8E91"/>
      </top>
      <bottom style="thin">
        <color rgb="FF8C8E91"/>
      </bottom>
      <diagonal/>
    </border>
    <border>
      <left/>
      <right/>
      <top style="medium">
        <color rgb="FF8C8E91"/>
      </top>
      <bottom style="thin">
        <color rgb="FF8C8E91"/>
      </bottom>
      <diagonal/>
    </border>
    <border>
      <left/>
      <right style="medium">
        <color rgb="FF8C8E91"/>
      </right>
      <top style="medium">
        <color rgb="FF8C8E91"/>
      </top>
      <bottom style="thin">
        <color rgb="FF8C8E91"/>
      </bottom>
      <diagonal/>
    </border>
    <border>
      <left style="medium">
        <color rgb="FF8C8E91"/>
      </left>
      <right/>
      <top style="thin">
        <color rgb="FF8C8E91"/>
      </top>
      <bottom style="thin">
        <color rgb="FF8C8E91"/>
      </bottom>
      <diagonal/>
    </border>
    <border>
      <left/>
      <right style="medium">
        <color rgb="FF8C8E91"/>
      </right>
      <top style="thin">
        <color rgb="FF8C8E91"/>
      </top>
      <bottom style="thin">
        <color rgb="FF8C8E91"/>
      </bottom>
      <diagonal/>
    </border>
    <border>
      <left/>
      <right/>
      <top style="thin">
        <color rgb="FF8C8E91"/>
      </top>
      <bottom style="thin">
        <color rgb="FF8C8E9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rgb="FF8C8E91"/>
      </left>
      <right style="medium">
        <color rgb="FF8C8E91"/>
      </right>
      <top style="thin">
        <color rgb="FF8C8E91"/>
      </top>
      <bottom style="thin">
        <color rgb="FF8C8E91"/>
      </bottom>
      <diagonal/>
    </border>
    <border>
      <left style="thin">
        <color rgb="FF8C8E91"/>
      </left>
      <right style="medium">
        <color rgb="FF8C8E91"/>
      </right>
      <top style="medium">
        <color rgb="FF8C8E91"/>
      </top>
      <bottom style="thin">
        <color rgb="FF8C8E91"/>
      </bottom>
      <diagonal/>
    </border>
    <border>
      <left style="medium">
        <color rgb="FFFF0000"/>
      </left>
      <right/>
      <top style="medium">
        <color rgb="FFFF0000"/>
      </top>
      <bottom/>
      <diagonal/>
    </border>
    <border>
      <left/>
      <right/>
      <top style="medium">
        <color rgb="FFFF0000"/>
      </top>
      <bottom/>
      <diagonal/>
    </border>
    <border>
      <left/>
      <right style="medium">
        <color auto="1"/>
      </right>
      <top style="medium">
        <color rgb="FFFF0000"/>
      </top>
      <bottom/>
      <diagonal/>
    </border>
    <border>
      <left style="medium">
        <color auto="1"/>
      </left>
      <right style="medium">
        <color auto="1"/>
      </right>
      <top style="medium">
        <color rgb="FFFF0000"/>
      </top>
      <bottom/>
      <diagonal/>
    </border>
    <border>
      <left style="medium">
        <color auto="1"/>
      </left>
      <right/>
      <top style="medium">
        <color rgb="FFFF0000"/>
      </top>
      <bottom/>
      <diagonal/>
    </border>
    <border>
      <left/>
      <right style="medium">
        <color rgb="FFFF0000"/>
      </right>
      <top style="medium">
        <color rgb="FFFF0000"/>
      </top>
      <bottom/>
      <diagonal/>
    </border>
    <border>
      <left style="medium">
        <color rgb="FFFF0000"/>
      </left>
      <right/>
      <top style="medium">
        <color auto="1"/>
      </top>
      <bottom/>
      <diagonal/>
    </border>
    <border>
      <left/>
      <right style="medium">
        <color rgb="FFFF0000"/>
      </right>
      <top style="medium">
        <color auto="1"/>
      </top>
      <bottom/>
      <diagonal/>
    </border>
    <border>
      <left style="medium">
        <color rgb="FFFF0000"/>
      </left>
      <right/>
      <top/>
      <bottom/>
      <diagonal/>
    </border>
    <border>
      <left/>
      <right style="medium">
        <color rgb="FFFF0000"/>
      </right>
      <top/>
      <bottom/>
      <diagonal/>
    </border>
    <border>
      <left style="medium">
        <color rgb="FFFF0000"/>
      </left>
      <right/>
      <top style="medium">
        <color auto="1"/>
      </top>
      <bottom style="medium">
        <color auto="1"/>
      </bottom>
      <diagonal/>
    </border>
    <border>
      <left/>
      <right style="medium">
        <color rgb="FFFF0000"/>
      </right>
      <top style="medium">
        <color auto="1"/>
      </top>
      <bottom style="medium">
        <color auto="1"/>
      </bottom>
      <diagonal/>
    </border>
    <border>
      <left style="medium">
        <color rgb="FFFF0000"/>
      </left>
      <right/>
      <top style="medium">
        <color auto="1"/>
      </top>
      <bottom style="medium">
        <color rgb="FFFF0000"/>
      </bottom>
      <diagonal/>
    </border>
    <border>
      <left/>
      <right/>
      <top style="medium">
        <color auto="1"/>
      </top>
      <bottom style="medium">
        <color rgb="FFFF0000"/>
      </bottom>
      <diagonal/>
    </border>
    <border>
      <left/>
      <right style="medium">
        <color auto="1"/>
      </right>
      <top style="medium">
        <color auto="1"/>
      </top>
      <bottom style="medium">
        <color rgb="FFFF0000"/>
      </bottom>
      <diagonal/>
    </border>
    <border>
      <left style="medium">
        <color auto="1"/>
      </left>
      <right style="medium">
        <color auto="1"/>
      </right>
      <top style="medium">
        <color auto="1"/>
      </top>
      <bottom style="medium">
        <color rgb="FFFF0000"/>
      </bottom>
      <diagonal/>
    </border>
    <border>
      <left style="medium">
        <color auto="1"/>
      </left>
      <right/>
      <top style="medium">
        <color auto="1"/>
      </top>
      <bottom style="medium">
        <color rgb="FFFF0000"/>
      </bottom>
      <diagonal/>
    </border>
    <border>
      <left/>
      <right style="medium">
        <color rgb="FFFF0000"/>
      </right>
      <top style="medium">
        <color auto="1"/>
      </top>
      <bottom style="medium">
        <color rgb="FFFF0000"/>
      </bottom>
      <diagonal/>
    </border>
    <border>
      <left/>
      <right style="medium">
        <color rgb="FFFF0000"/>
      </right>
      <top/>
      <bottom style="medium">
        <color auto="1"/>
      </bottom>
      <diagonal/>
    </border>
    <border>
      <left style="thin">
        <color rgb="FF8C8E91"/>
      </left>
      <right style="medium">
        <color rgb="FF8C8E91"/>
      </right>
      <top style="thin">
        <color rgb="FF8C8E91"/>
      </top>
      <bottom/>
      <diagonal/>
    </border>
    <border>
      <left style="thin">
        <color rgb="FF8C8E91"/>
      </left>
      <right style="medium">
        <color rgb="FF8C8E91"/>
      </right>
      <top/>
      <bottom style="medium">
        <color rgb="FF8C8E91"/>
      </bottom>
      <diagonal/>
    </border>
    <border>
      <left style="thin">
        <color rgb="FF8C8E91"/>
      </left>
      <right style="medium">
        <color rgb="FF8C8E91"/>
      </right>
      <top/>
      <bottom style="thin">
        <color rgb="FF8C8E91"/>
      </bottom>
      <diagonal/>
    </border>
    <border>
      <left style="medium">
        <color rgb="FF8C8E91"/>
      </left>
      <right style="medium">
        <color rgb="FF8C8E91"/>
      </right>
      <top style="medium">
        <color rgb="FF8C8E91"/>
      </top>
      <bottom style="thin">
        <color rgb="FF5C5E60"/>
      </bottom>
      <diagonal/>
    </border>
    <border>
      <left style="medium">
        <color rgb="FF8C8E91"/>
      </left>
      <right style="medium">
        <color rgb="FF8C8E91"/>
      </right>
      <top/>
      <bottom style="thin">
        <color rgb="FF5C5E60"/>
      </bottom>
      <diagonal/>
    </border>
    <border>
      <left style="medium">
        <color rgb="FF8C8E91"/>
      </left>
      <right style="thin">
        <color rgb="FF8C8E91"/>
      </right>
      <top style="medium">
        <color rgb="FF8C8E91"/>
      </top>
      <bottom/>
      <diagonal/>
    </border>
  </borders>
  <cellStyleXfs count="5">
    <xf numFmtId="0" fontId="0" fillId="0" borderId="0"/>
    <xf numFmtId="9" fontId="2"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44" fontId="1" fillId="0" borderId="0" applyFont="0" applyFill="0" applyBorder="0" applyAlignment="0" applyProtection="0"/>
  </cellStyleXfs>
  <cellXfs count="390">
    <xf numFmtId="0" fontId="0" fillId="0" borderId="0" xfId="0"/>
    <xf numFmtId="0" fontId="0" fillId="0" borderId="0" xfId="0" applyFont="1" applyBorder="1" applyAlignment="1">
      <alignment horizontal="center" vertical="center"/>
    </xf>
    <xf numFmtId="0" fontId="0" fillId="0" borderId="0" xfId="0" applyBorder="1"/>
    <xf numFmtId="167" fontId="6" fillId="0" borderId="0" xfId="1" applyNumberFormat="1" applyFont="1" applyBorder="1" applyAlignment="1">
      <alignment horizontal="center" vertical="center" wrapText="1"/>
    </xf>
    <xf numFmtId="9" fontId="6" fillId="0" borderId="0" xfId="1" applyFont="1" applyBorder="1" applyAlignment="1">
      <alignment horizontal="center" vertical="center" wrapText="1"/>
    </xf>
    <xf numFmtId="0" fontId="6" fillId="0" borderId="0" xfId="0" applyFont="1" applyBorder="1" applyAlignment="1">
      <alignment vertical="center"/>
    </xf>
    <xf numFmtId="0" fontId="3" fillId="0" borderId="0" xfId="0" applyFont="1" applyBorder="1" applyAlignment="1">
      <alignment horizontal="left" vertical="center"/>
    </xf>
    <xf numFmtId="0" fontId="0" fillId="0" borderId="0" xfId="0" applyFont="1" applyBorder="1" applyAlignment="1">
      <alignment horizontal="left" vertical="center"/>
    </xf>
    <xf numFmtId="0" fontId="7" fillId="0" borderId="22" xfId="0" applyFont="1" applyBorder="1" applyAlignment="1">
      <alignment horizontal="center" vertical="center"/>
    </xf>
    <xf numFmtId="0" fontId="6" fillId="0" borderId="26" xfId="0" applyFont="1" applyBorder="1" applyAlignment="1">
      <alignment horizontal="center" vertical="center"/>
    </xf>
    <xf numFmtId="0" fontId="8" fillId="0" borderId="26" xfId="0" applyFont="1" applyBorder="1" applyAlignment="1">
      <alignment horizontal="center" vertical="center"/>
    </xf>
    <xf numFmtId="0" fontId="6" fillId="0" borderId="27" xfId="0" applyFont="1" applyBorder="1" applyAlignment="1">
      <alignment horizontal="center" vertical="center"/>
    </xf>
    <xf numFmtId="9" fontId="6" fillId="0" borderId="31" xfId="1" applyFont="1" applyBorder="1" applyAlignment="1">
      <alignment horizontal="center" vertical="center"/>
    </xf>
    <xf numFmtId="9" fontId="6" fillId="0" borderId="33" xfId="1" applyFont="1" applyBorder="1" applyAlignment="1">
      <alignment horizontal="center" vertical="center"/>
    </xf>
    <xf numFmtId="0" fontId="6" fillId="4" borderId="0" xfId="0" applyFont="1" applyFill="1" applyBorder="1" applyAlignment="1">
      <alignment vertical="center"/>
    </xf>
    <xf numFmtId="0" fontId="8" fillId="4" borderId="0" xfId="0" applyFont="1" applyFill="1" applyBorder="1" applyAlignment="1">
      <alignment horizontal="center" vertical="center"/>
    </xf>
    <xf numFmtId="0" fontId="9" fillId="6" borderId="22" xfId="0" applyFont="1" applyFill="1" applyBorder="1" applyAlignment="1">
      <alignment vertical="center" wrapText="1"/>
    </xf>
    <xf numFmtId="0" fontId="10" fillId="5" borderId="25" xfId="0" applyFont="1" applyFill="1" applyBorder="1" applyAlignment="1">
      <alignment horizontal="left" vertical="center" wrapText="1"/>
    </xf>
    <xf numFmtId="0" fontId="10" fillId="5" borderId="26" xfId="0" applyFont="1" applyFill="1" applyBorder="1" applyAlignment="1">
      <alignment horizontal="left" vertical="center" wrapText="1"/>
    </xf>
    <xf numFmtId="0" fontId="10" fillId="5" borderId="27" xfId="0" applyFont="1" applyFill="1" applyBorder="1" applyAlignment="1">
      <alignment horizontal="left" vertical="center" wrapText="1"/>
    </xf>
    <xf numFmtId="0" fontId="6" fillId="4" borderId="31" xfId="0" applyFont="1" applyFill="1" applyBorder="1" applyAlignment="1">
      <alignment vertical="center"/>
    </xf>
    <xf numFmtId="0" fontId="6" fillId="4" borderId="30" xfId="0" applyFont="1" applyFill="1" applyBorder="1" applyAlignment="1">
      <alignment horizontal="left" vertical="center" wrapText="1"/>
    </xf>
    <xf numFmtId="0" fontId="9" fillId="6" borderId="23" xfId="0" applyFont="1" applyFill="1" applyBorder="1" applyAlignment="1">
      <alignment vertical="center"/>
    </xf>
    <xf numFmtId="0" fontId="9" fillId="6" borderId="22"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24" xfId="0" applyFont="1" applyFill="1" applyBorder="1" applyAlignment="1">
      <alignment horizontal="center" vertical="center"/>
    </xf>
    <xf numFmtId="0" fontId="6" fillId="4" borderId="28" xfId="0" applyFont="1" applyFill="1" applyBorder="1" applyAlignment="1">
      <alignment vertical="center"/>
    </xf>
    <xf numFmtId="0" fontId="6" fillId="4" borderId="34" xfId="0" applyFont="1" applyFill="1" applyBorder="1" applyAlignment="1">
      <alignment vertical="center"/>
    </xf>
    <xf numFmtId="0" fontId="6" fillId="4" borderId="29" xfId="0" applyFont="1" applyFill="1" applyBorder="1" applyAlignment="1">
      <alignment vertical="center"/>
    </xf>
    <xf numFmtId="0" fontId="6" fillId="4" borderId="30" xfId="0" applyFont="1" applyFill="1" applyBorder="1" applyAlignment="1">
      <alignment vertical="center"/>
    </xf>
    <xf numFmtId="0" fontId="6" fillId="4" borderId="32" xfId="0" applyFont="1" applyFill="1" applyBorder="1" applyAlignment="1">
      <alignment vertical="center"/>
    </xf>
    <xf numFmtId="0" fontId="6" fillId="4" borderId="35" xfId="0" applyFont="1" applyFill="1" applyBorder="1" applyAlignment="1">
      <alignment vertical="center"/>
    </xf>
    <xf numFmtId="0" fontId="6" fillId="4" borderId="33" xfId="0" applyFont="1" applyFill="1" applyBorder="1" applyAlignment="1">
      <alignment vertical="center"/>
    </xf>
    <xf numFmtId="0" fontId="6" fillId="0" borderId="37" xfId="0" applyFont="1" applyBorder="1" applyAlignment="1">
      <alignment horizontal="center" vertical="center"/>
    </xf>
    <xf numFmtId="0" fontId="6" fillId="0" borderId="38" xfId="0" applyFont="1" applyBorder="1" applyAlignment="1">
      <alignment horizontal="center" vertical="center"/>
    </xf>
    <xf numFmtId="0" fontId="9" fillId="6" borderId="22" xfId="0" applyFont="1" applyFill="1" applyBorder="1" applyAlignment="1">
      <alignment horizontal="center" vertical="center" wrapText="1"/>
    </xf>
    <xf numFmtId="9" fontId="7" fillId="0" borderId="25" xfId="0" applyNumberFormat="1" applyFont="1" applyBorder="1" applyAlignment="1">
      <alignment horizontal="center" vertical="center" wrapText="1"/>
    </xf>
    <xf numFmtId="9" fontId="7" fillId="0" borderId="26" xfId="0" applyNumberFormat="1" applyFont="1" applyBorder="1" applyAlignment="1">
      <alignment horizontal="center" vertical="center" wrapText="1"/>
    </xf>
    <xf numFmtId="0" fontId="9" fillId="6" borderId="23" xfId="0" applyFont="1" applyFill="1" applyBorder="1" applyAlignment="1">
      <alignment horizontal="center" vertical="center" wrapText="1"/>
    </xf>
    <xf numFmtId="0" fontId="9" fillId="6" borderId="36" xfId="0" applyFont="1" applyFill="1" applyBorder="1" applyAlignment="1">
      <alignment horizontal="center" vertical="center" wrapText="1"/>
    </xf>
    <xf numFmtId="167" fontId="6" fillId="0" borderId="28" xfId="1" applyNumberFormat="1" applyFont="1" applyBorder="1" applyAlignment="1">
      <alignment horizontal="center" vertical="center" wrapText="1"/>
    </xf>
    <xf numFmtId="167" fontId="6" fillId="0" borderId="34" xfId="1" applyNumberFormat="1" applyFont="1" applyBorder="1" applyAlignment="1">
      <alignment horizontal="center" vertical="center" wrapText="1"/>
    </xf>
    <xf numFmtId="9" fontId="6" fillId="0" borderId="34" xfId="1" applyFont="1" applyBorder="1" applyAlignment="1">
      <alignment horizontal="center" vertical="center" wrapText="1"/>
    </xf>
    <xf numFmtId="9" fontId="6" fillId="0" borderId="29" xfId="1" applyFont="1" applyBorder="1" applyAlignment="1">
      <alignment horizontal="center" vertical="center" wrapText="1"/>
    </xf>
    <xf numFmtId="167" fontId="6" fillId="0" borderId="30" xfId="1" applyNumberFormat="1" applyFont="1" applyBorder="1" applyAlignment="1">
      <alignment horizontal="center" vertical="center" wrapText="1"/>
    </xf>
    <xf numFmtId="9" fontId="6" fillId="0" borderId="31" xfId="1" applyFont="1" applyBorder="1" applyAlignment="1">
      <alignment horizontal="center" vertical="center" wrapText="1"/>
    </xf>
    <xf numFmtId="167" fontId="6" fillId="0" borderId="32" xfId="1" applyNumberFormat="1" applyFont="1" applyBorder="1" applyAlignment="1">
      <alignment horizontal="center" vertical="center" wrapText="1"/>
    </xf>
    <xf numFmtId="167" fontId="6" fillId="0" borderId="35" xfId="1" applyNumberFormat="1" applyFont="1" applyBorder="1" applyAlignment="1">
      <alignment horizontal="center" vertical="center" wrapText="1"/>
    </xf>
    <xf numFmtId="9" fontId="6" fillId="0" borderId="28" xfId="1" applyFont="1" applyBorder="1" applyAlignment="1">
      <alignment horizontal="center" vertical="center" wrapText="1"/>
    </xf>
    <xf numFmtId="9" fontId="6" fillId="0" borderId="30" xfId="1" applyFont="1" applyBorder="1" applyAlignment="1">
      <alignment horizontal="center" vertical="center" wrapText="1"/>
    </xf>
    <xf numFmtId="0" fontId="0" fillId="4" borderId="0" xfId="0" applyFill="1" applyBorder="1"/>
    <xf numFmtId="0" fontId="0" fillId="0" borderId="0" xfId="0" applyBorder="1" applyAlignment="1">
      <alignment wrapText="1"/>
    </xf>
    <xf numFmtId="9" fontId="7" fillId="0" borderId="40" xfId="0" applyNumberFormat="1" applyFont="1" applyBorder="1" applyAlignment="1">
      <alignment horizontal="center" vertical="center" wrapText="1"/>
    </xf>
    <xf numFmtId="167" fontId="6" fillId="0" borderId="41" xfId="1" applyNumberFormat="1" applyFont="1" applyBorder="1" applyAlignment="1">
      <alignment horizontal="center" vertical="center" wrapText="1"/>
    </xf>
    <xf numFmtId="167" fontId="6" fillId="0" borderId="42" xfId="1" applyNumberFormat="1" applyFont="1" applyBorder="1" applyAlignment="1">
      <alignment horizontal="center" vertical="center" wrapText="1"/>
    </xf>
    <xf numFmtId="2" fontId="6" fillId="0" borderId="41" xfId="1" applyNumberFormat="1" applyFont="1" applyBorder="1" applyAlignment="1">
      <alignment horizontal="center" vertical="center" wrapText="1"/>
    </xf>
    <xf numFmtId="2" fontId="6" fillId="0" borderId="43" xfId="1" applyNumberFormat="1" applyFont="1" applyBorder="1" applyAlignment="1">
      <alignment horizontal="center" vertical="center" wrapText="1"/>
    </xf>
    <xf numFmtId="9" fontId="7" fillId="0" borderId="39" xfId="0" applyNumberFormat="1" applyFont="1" applyBorder="1" applyAlignment="1">
      <alignment horizontal="center" vertical="center" wrapText="1"/>
    </xf>
    <xf numFmtId="167" fontId="6" fillId="0" borderId="44" xfId="1" applyNumberFormat="1" applyFont="1" applyBorder="1" applyAlignment="1">
      <alignment horizontal="center" vertical="center" wrapText="1"/>
    </xf>
    <xf numFmtId="167" fontId="6" fillId="0" borderId="45" xfId="1" applyNumberFormat="1" applyFont="1" applyBorder="1" applyAlignment="1">
      <alignment horizontal="center" vertical="center" wrapText="1"/>
    </xf>
    <xf numFmtId="2" fontId="6" fillId="0" borderId="44" xfId="1" applyNumberFormat="1" applyFont="1" applyBorder="1" applyAlignment="1">
      <alignment horizontal="center" vertical="center" wrapText="1"/>
    </xf>
    <xf numFmtId="2" fontId="6" fillId="0" borderId="46" xfId="1" applyNumberFormat="1" applyFont="1" applyBorder="1" applyAlignment="1">
      <alignment horizontal="center" vertical="center" wrapText="1"/>
    </xf>
    <xf numFmtId="2" fontId="6" fillId="7" borderId="41" xfId="1" applyNumberFormat="1" applyFont="1" applyFill="1" applyBorder="1" applyAlignment="1">
      <alignment horizontal="center" vertical="center" wrapText="1"/>
    </xf>
    <xf numFmtId="2" fontId="6" fillId="3" borderId="41" xfId="1" applyNumberFormat="1" applyFont="1" applyFill="1" applyBorder="1" applyAlignment="1">
      <alignment horizontal="center" vertical="center" wrapText="1"/>
    </xf>
    <xf numFmtId="2" fontId="6" fillId="0" borderId="47" xfId="1" applyNumberFormat="1" applyFont="1" applyBorder="1" applyAlignment="1">
      <alignment horizontal="center" vertical="center" wrapText="1"/>
    </xf>
    <xf numFmtId="2" fontId="6" fillId="0" borderId="48" xfId="1" applyNumberFormat="1" applyFont="1" applyBorder="1" applyAlignment="1">
      <alignment horizontal="center" vertical="center" wrapText="1"/>
    </xf>
    <xf numFmtId="0" fontId="0" fillId="4" borderId="30" xfId="0" applyFill="1" applyBorder="1"/>
    <xf numFmtId="0" fontId="0" fillId="4" borderId="29" xfId="0" applyFill="1" applyBorder="1"/>
    <xf numFmtId="0" fontId="0" fillId="4" borderId="31" xfId="0" applyFill="1" applyBorder="1"/>
    <xf numFmtId="2" fontId="6" fillId="0" borderId="32" xfId="1" applyNumberFormat="1" applyFont="1" applyBorder="1" applyAlignment="1">
      <alignment horizontal="center" vertical="center" wrapText="1"/>
    </xf>
    <xf numFmtId="2" fontId="6" fillId="0" borderId="33" xfId="1" applyNumberFormat="1" applyFont="1" applyBorder="1" applyAlignment="1">
      <alignment horizontal="center" vertical="center" wrapText="1"/>
    </xf>
    <xf numFmtId="0" fontId="0" fillId="4" borderId="33" xfId="0" applyFill="1" applyBorder="1"/>
    <xf numFmtId="0" fontId="0" fillId="4" borderId="32" xfId="0" applyFill="1" applyBorder="1"/>
    <xf numFmtId="0" fontId="0" fillId="4" borderId="35" xfId="0" applyFill="1" applyBorder="1"/>
    <xf numFmtId="0" fontId="10" fillId="5" borderId="23" xfId="0" applyFont="1" applyFill="1" applyBorder="1" applyAlignment="1">
      <alignment vertical="center" wrapText="1"/>
    </xf>
    <xf numFmtId="0" fontId="7" fillId="0" borderId="22" xfId="0" applyNumberFormat="1" applyFont="1" applyBorder="1" applyAlignment="1">
      <alignment horizontal="center" vertical="center" wrapText="1"/>
    </xf>
    <xf numFmtId="2" fontId="6" fillId="0" borderId="35" xfId="1" applyNumberFormat="1" applyFont="1" applyBorder="1" applyAlignment="1">
      <alignment horizontal="center" vertical="center" wrapText="1"/>
    </xf>
    <xf numFmtId="0" fontId="0" fillId="4" borderId="0" xfId="0" applyFill="1" applyBorder="1" applyAlignment="1">
      <alignment horizontal="center" vertical="center" wrapText="1"/>
    </xf>
    <xf numFmtId="0" fontId="10" fillId="5" borderId="39" xfId="0" applyFont="1" applyFill="1" applyBorder="1" applyAlignment="1">
      <alignment horizontal="center" vertical="center" wrapText="1"/>
    </xf>
    <xf numFmtId="0" fontId="10" fillId="5" borderId="40" xfId="0" applyFont="1" applyFill="1" applyBorder="1" applyAlignment="1">
      <alignment horizontal="center" vertical="center" wrapText="1"/>
    </xf>
    <xf numFmtId="0" fontId="0" fillId="4" borderId="29" xfId="0" applyFill="1" applyBorder="1" applyAlignment="1">
      <alignment horizontal="center" vertical="center" wrapText="1"/>
    </xf>
    <xf numFmtId="0" fontId="0" fillId="4" borderId="31" xfId="0" applyFill="1" applyBorder="1" applyAlignment="1">
      <alignment horizontal="center" vertical="center" wrapText="1"/>
    </xf>
    <xf numFmtId="0" fontId="0" fillId="4" borderId="30" xfId="0" applyFill="1" applyBorder="1" applyAlignment="1">
      <alignment horizontal="center" vertical="center" wrapText="1"/>
    </xf>
    <xf numFmtId="0" fontId="0" fillId="4" borderId="32" xfId="0" applyFill="1" applyBorder="1" applyAlignment="1">
      <alignment horizontal="center" vertical="center" wrapText="1"/>
    </xf>
    <xf numFmtId="0" fontId="0" fillId="4" borderId="35" xfId="0" applyFill="1" applyBorder="1" applyAlignment="1">
      <alignment horizontal="center" vertical="center" wrapText="1"/>
    </xf>
    <xf numFmtId="0" fontId="0" fillId="4" borderId="33" xfId="0" applyFill="1" applyBorder="1" applyAlignment="1">
      <alignment horizontal="center" vertical="center" wrapText="1"/>
    </xf>
    <xf numFmtId="2" fontId="6" fillId="0" borderId="49" xfId="1" applyNumberFormat="1" applyFont="1" applyBorder="1" applyAlignment="1">
      <alignment horizontal="center" vertical="center" wrapText="1"/>
    </xf>
    <xf numFmtId="2" fontId="6" fillId="0" borderId="45" xfId="1" applyNumberFormat="1" applyFont="1" applyBorder="1" applyAlignment="1">
      <alignment horizontal="center" vertical="center" wrapText="1"/>
    </xf>
    <xf numFmtId="0" fontId="10" fillId="5" borderId="30" xfId="0" applyFont="1" applyFill="1" applyBorder="1" applyAlignment="1">
      <alignment horizontal="center" vertical="center" wrapText="1"/>
    </xf>
    <xf numFmtId="0" fontId="6" fillId="0" borderId="56" xfId="0" applyFont="1" applyBorder="1" applyAlignment="1">
      <alignment horizontal="center" vertical="center"/>
    </xf>
    <xf numFmtId="0" fontId="6" fillId="4" borderId="77" xfId="0" applyFont="1" applyFill="1" applyBorder="1" applyAlignment="1">
      <alignment vertical="center"/>
    </xf>
    <xf numFmtId="2" fontId="11" fillId="0" borderId="41" xfId="1" applyNumberFormat="1" applyFont="1" applyBorder="1" applyAlignment="1">
      <alignment horizontal="center" vertical="center" wrapText="1"/>
    </xf>
    <xf numFmtId="2" fontId="11" fillId="0" borderId="43" xfId="1" applyNumberFormat="1" applyFont="1" applyBorder="1" applyAlignment="1">
      <alignment horizontal="center" vertical="center" wrapText="1"/>
    </xf>
    <xf numFmtId="0" fontId="9" fillId="6" borderId="25" xfId="0" applyFont="1" applyFill="1" applyBorder="1" applyAlignment="1">
      <alignment horizontal="center" vertical="center" wrapText="1"/>
    </xf>
    <xf numFmtId="0" fontId="9" fillId="6" borderId="28" xfId="0" applyFont="1" applyFill="1" applyBorder="1" applyAlignment="1">
      <alignment horizontal="center" vertical="center" wrapText="1"/>
    </xf>
    <xf numFmtId="0" fontId="9" fillId="6" borderId="34" xfId="0" applyFont="1" applyFill="1" applyBorder="1" applyAlignment="1">
      <alignment horizontal="center" vertical="center" wrapText="1"/>
    </xf>
    <xf numFmtId="0" fontId="9" fillId="6" borderId="29" xfId="0" applyFont="1" applyFill="1" applyBorder="1" applyAlignment="1">
      <alignment horizontal="center" vertical="center" wrapText="1"/>
    </xf>
    <xf numFmtId="9" fontId="7" fillId="0" borderId="27" xfId="0" applyNumberFormat="1" applyFont="1" applyBorder="1" applyAlignment="1">
      <alignment horizontal="center" vertical="center" wrapText="1"/>
    </xf>
    <xf numFmtId="9" fontId="6" fillId="0" borderId="33" xfId="1" applyFont="1" applyBorder="1" applyAlignment="1">
      <alignment horizontal="center" vertical="center" wrapText="1"/>
    </xf>
    <xf numFmtId="9" fontId="6" fillId="0" borderId="32" xfId="1" applyFont="1" applyBorder="1" applyAlignment="1">
      <alignment horizontal="center" vertical="center" wrapText="1"/>
    </xf>
    <xf numFmtId="9" fontId="6" fillId="0" borderId="35" xfId="1" applyFont="1" applyBorder="1" applyAlignment="1">
      <alignment horizontal="center" vertical="center" wrapText="1"/>
    </xf>
    <xf numFmtId="0" fontId="9" fillId="6" borderId="25" xfId="0" applyFont="1" applyFill="1" applyBorder="1" applyAlignment="1">
      <alignment vertical="center" wrapText="1"/>
    </xf>
    <xf numFmtId="0" fontId="6" fillId="4" borderId="0" xfId="0" applyFont="1" applyFill="1" applyBorder="1" applyAlignment="1">
      <alignment horizontal="left" vertical="center" wrapText="1"/>
    </xf>
    <xf numFmtId="0" fontId="6" fillId="4" borderId="0" xfId="0" applyFont="1" applyFill="1" applyBorder="1" applyAlignment="1">
      <alignment horizontal="center" vertical="center"/>
    </xf>
    <xf numFmtId="0" fontId="6" fillId="4" borderId="57" xfId="0" applyFont="1" applyFill="1" applyBorder="1" applyAlignment="1">
      <alignment vertical="center"/>
    </xf>
    <xf numFmtId="9" fontId="6" fillId="4" borderId="78" xfId="1" applyFont="1" applyFill="1" applyBorder="1" applyAlignment="1">
      <alignment vertical="center"/>
    </xf>
    <xf numFmtId="0" fontId="6" fillId="0" borderId="28" xfId="0" applyFont="1" applyBorder="1" applyAlignment="1">
      <alignment horizontal="center" vertical="center"/>
    </xf>
    <xf numFmtId="167" fontId="6" fillId="0" borderId="30" xfId="0" applyNumberFormat="1" applyFont="1" applyBorder="1" applyAlignment="1">
      <alignment horizontal="center" vertical="center"/>
    </xf>
    <xf numFmtId="0" fontId="6" fillId="0" borderId="30" xfId="0" applyFont="1" applyBorder="1" applyAlignment="1">
      <alignment horizontal="center" vertical="center"/>
    </xf>
    <xf numFmtId="9" fontId="6" fillId="0" borderId="32" xfId="1" applyFont="1" applyBorder="1" applyAlignment="1">
      <alignment horizontal="center" vertical="center"/>
    </xf>
    <xf numFmtId="0" fontId="8" fillId="0" borderId="28" xfId="0" applyFont="1" applyBorder="1" applyAlignment="1">
      <alignment horizontal="center" vertical="center"/>
    </xf>
    <xf numFmtId="1" fontId="8" fillId="0" borderId="30" xfId="0" applyNumberFormat="1" applyFont="1" applyBorder="1" applyAlignment="1">
      <alignment horizontal="center" vertical="center"/>
    </xf>
    <xf numFmtId="1" fontId="8" fillId="0" borderId="77" xfId="0" applyNumberFormat="1" applyFont="1" applyBorder="1" applyAlignment="1">
      <alignment horizontal="center" vertical="center"/>
    </xf>
    <xf numFmtId="1" fontId="8" fillId="0" borderId="79" xfId="0" applyNumberFormat="1" applyFont="1" applyBorder="1" applyAlignment="1">
      <alignment horizontal="center" vertical="center"/>
    </xf>
    <xf numFmtId="0" fontId="8" fillId="0" borderId="30" xfId="0" applyFont="1" applyBorder="1" applyAlignment="1">
      <alignment horizontal="center" vertical="center"/>
    </xf>
    <xf numFmtId="0" fontId="8" fillId="0" borderId="32" xfId="0" applyFont="1" applyBorder="1" applyAlignment="1">
      <alignment horizontal="center" vertical="center"/>
    </xf>
    <xf numFmtId="0" fontId="10" fillId="5" borderId="81" xfId="0" applyFont="1" applyFill="1" applyBorder="1" applyAlignment="1">
      <alignment horizontal="left" vertical="center" wrapText="1"/>
    </xf>
    <xf numFmtId="0" fontId="10" fillId="5" borderId="81" xfId="0" applyFont="1" applyFill="1" applyBorder="1" applyAlignment="1">
      <alignment vertical="center" wrapText="1"/>
    </xf>
    <xf numFmtId="0" fontId="10" fillId="5" borderId="80" xfId="0" applyFont="1" applyFill="1" applyBorder="1" applyAlignment="1">
      <alignment horizontal="left" vertical="center" wrapText="1"/>
    </xf>
    <xf numFmtId="0" fontId="10" fillId="5" borderId="80" xfId="0" applyFont="1" applyFill="1" applyBorder="1" applyAlignment="1">
      <alignment vertical="center" wrapText="1"/>
    </xf>
    <xf numFmtId="0" fontId="6" fillId="0" borderId="25" xfId="0" applyFont="1" applyBorder="1" applyAlignment="1">
      <alignment horizontal="center" vertical="center"/>
    </xf>
    <xf numFmtId="0" fontId="6" fillId="0" borderId="82" xfId="0" applyFont="1" applyBorder="1" applyAlignment="1">
      <alignment horizontal="center" vertical="center"/>
    </xf>
    <xf numFmtId="9" fontId="6" fillId="0" borderId="29" xfId="1" applyFont="1" applyBorder="1" applyAlignment="1">
      <alignment horizontal="center" vertical="center"/>
    </xf>
    <xf numFmtId="0" fontId="10" fillId="5" borderId="27" xfId="0" applyFont="1" applyFill="1" applyBorder="1" applyAlignment="1">
      <alignment vertical="center" wrapText="1"/>
    </xf>
    <xf numFmtId="0" fontId="0" fillId="4" borderId="30" xfId="0" applyFont="1" applyFill="1" applyBorder="1" applyAlignment="1">
      <alignment vertical="center" wrapText="1"/>
    </xf>
    <xf numFmtId="0" fontId="0" fillId="4" borderId="0" xfId="0" applyFont="1" applyFill="1" applyBorder="1" applyAlignment="1">
      <alignment vertical="center" wrapText="1"/>
    </xf>
    <xf numFmtId="0" fontId="0" fillId="4" borderId="31" xfId="0" applyFont="1" applyFill="1" applyBorder="1" applyAlignment="1">
      <alignment vertical="center" wrapText="1"/>
    </xf>
    <xf numFmtId="0" fontId="15" fillId="4" borderId="0" xfId="0" applyFont="1" applyFill="1" applyBorder="1" applyAlignment="1">
      <alignment vertical="center" wrapText="1"/>
    </xf>
    <xf numFmtId="0" fontId="15" fillId="0" borderId="0" xfId="0" applyFont="1" applyBorder="1" applyAlignment="1">
      <alignment vertical="center" wrapText="1"/>
    </xf>
    <xf numFmtId="0" fontId="15" fillId="4" borderId="34" xfId="0" applyFont="1" applyFill="1" applyBorder="1" applyAlignment="1">
      <alignment vertical="center" wrapText="1"/>
    </xf>
    <xf numFmtId="0" fontId="15" fillId="4" borderId="29" xfId="0" applyFont="1" applyFill="1" applyBorder="1" applyAlignment="1">
      <alignment vertical="center" wrapText="1"/>
    </xf>
    <xf numFmtId="0" fontId="15" fillId="4" borderId="31" xfId="0" applyFont="1" applyFill="1" applyBorder="1" applyAlignment="1">
      <alignment vertical="center" wrapText="1"/>
    </xf>
    <xf numFmtId="0" fontId="15" fillId="4" borderId="30" xfId="0" applyFont="1" applyFill="1" applyBorder="1" applyAlignment="1">
      <alignment vertical="center" wrapText="1"/>
    </xf>
    <xf numFmtId="0" fontId="15" fillId="0" borderId="22" xfId="0" applyFont="1" applyBorder="1" applyAlignment="1">
      <alignment vertical="center" wrapText="1"/>
    </xf>
    <xf numFmtId="0" fontId="16" fillId="6" borderId="22" xfId="0" applyFont="1" applyFill="1" applyBorder="1" applyAlignment="1">
      <alignment vertical="center" wrapText="1"/>
    </xf>
    <xf numFmtId="0" fontId="17" fillId="0" borderId="0" xfId="0" applyFont="1"/>
    <xf numFmtId="2" fontId="6" fillId="3" borderId="44" xfId="1" applyNumberFormat="1" applyFont="1" applyFill="1" applyBorder="1" applyAlignment="1">
      <alignment horizontal="center" vertical="center" wrapText="1"/>
    </xf>
    <xf numFmtId="0" fontId="0" fillId="0" borderId="0" xfId="0" applyFont="1"/>
    <xf numFmtId="0" fontId="3" fillId="0" borderId="19" xfId="0" applyFont="1" applyBorder="1"/>
    <xf numFmtId="0" fontId="3" fillId="0" borderId="3" xfId="0" applyFont="1" applyBorder="1" applyAlignment="1">
      <alignment horizontal="center" vertical="center"/>
    </xf>
    <xf numFmtId="0" fontId="3" fillId="0" borderId="19" xfId="0" applyFont="1" applyBorder="1" applyAlignment="1">
      <alignment horizontal="center" vertical="center"/>
    </xf>
    <xf numFmtId="0" fontId="3" fillId="0" borderId="0" xfId="0" applyFont="1" applyFill="1" applyBorder="1" applyAlignment="1">
      <alignment horizontal="center" vertical="center"/>
    </xf>
    <xf numFmtId="0" fontId="19" fillId="0" borderId="12" xfId="0" applyFont="1" applyBorder="1" applyAlignment="1">
      <alignment horizontal="left" vertical="center"/>
    </xf>
    <xf numFmtId="0" fontId="0" fillId="0" borderId="12" xfId="0" applyFont="1" applyBorder="1" applyAlignment="1">
      <alignment horizontal="center" vertical="center"/>
    </xf>
    <xf numFmtId="9" fontId="0" fillId="0" borderId="12" xfId="1" applyFont="1" applyBorder="1" applyAlignment="1">
      <alignment horizontal="center" vertical="center"/>
    </xf>
    <xf numFmtId="0" fontId="3" fillId="0" borderId="18" xfId="0" applyFont="1" applyBorder="1"/>
    <xf numFmtId="0" fontId="3" fillId="0" borderId="2" xfId="0" applyFont="1" applyBorder="1" applyAlignment="1">
      <alignment horizontal="center" vertical="center"/>
    </xf>
    <xf numFmtId="0" fontId="0" fillId="0" borderId="0" xfId="0" applyFont="1" applyAlignment="1">
      <alignment horizontal="center" vertical="center"/>
    </xf>
    <xf numFmtId="0" fontId="0" fillId="0" borderId="4" xfId="0" applyFont="1" applyBorder="1" applyAlignment="1">
      <alignment horizontal="left" vertical="center" wrapText="1"/>
    </xf>
    <xf numFmtId="0" fontId="0" fillId="0" borderId="6" xfId="0" applyFont="1" applyBorder="1" applyAlignment="1">
      <alignment horizontal="left" vertical="center" wrapText="1"/>
    </xf>
    <xf numFmtId="0" fontId="0" fillId="0" borderId="21" xfId="0" applyFont="1" applyBorder="1" applyAlignment="1">
      <alignment horizontal="center"/>
    </xf>
    <xf numFmtId="0" fontId="0" fillId="0" borderId="18" xfId="0" applyFont="1" applyBorder="1" applyAlignment="1">
      <alignment horizontal="center"/>
    </xf>
    <xf numFmtId="0" fontId="3" fillId="0" borderId="18" xfId="0" applyFont="1" applyFill="1" applyBorder="1" applyAlignment="1">
      <alignment horizontal="left" vertical="center" wrapText="1"/>
    </xf>
    <xf numFmtId="164" fontId="0" fillId="0" borderId="0" xfId="0" applyNumberFormat="1" applyFont="1" applyAlignment="1">
      <alignment horizontal="center" vertical="center"/>
    </xf>
    <xf numFmtId="0" fontId="0" fillId="0" borderId="19" xfId="0" applyFont="1" applyBorder="1"/>
    <xf numFmtId="0" fontId="0" fillId="0" borderId="20" xfId="0" applyFont="1" applyBorder="1"/>
    <xf numFmtId="0" fontId="0" fillId="0" borderId="21" xfId="0" applyFont="1" applyBorder="1"/>
    <xf numFmtId="0" fontId="0" fillId="0" borderId="2" xfId="0" applyFont="1" applyBorder="1" applyAlignment="1">
      <alignment horizontal="left" vertical="center"/>
    </xf>
    <xf numFmtId="0" fontId="6" fillId="0" borderId="23" xfId="0" applyFont="1" applyFill="1" applyBorder="1" applyAlignment="1">
      <alignment horizontal="center" vertical="center" wrapText="1"/>
    </xf>
    <xf numFmtId="0" fontId="6" fillId="0" borderId="36" xfId="0" applyFont="1" applyFill="1" applyBorder="1" applyAlignment="1">
      <alignment horizontal="center" vertical="center" wrapText="1"/>
    </xf>
    <xf numFmtId="0" fontId="6" fillId="0" borderId="24" xfId="0" applyFont="1" applyFill="1" applyBorder="1" applyAlignment="1">
      <alignment horizontal="center" vertical="center" wrapText="1"/>
    </xf>
    <xf numFmtId="0" fontId="6" fillId="0" borderId="23" xfId="0" applyFont="1" applyBorder="1" applyAlignment="1">
      <alignment horizontal="center" vertical="center" wrapText="1"/>
    </xf>
    <xf numFmtId="0" fontId="6" fillId="0" borderId="36" xfId="0" applyFont="1" applyBorder="1" applyAlignment="1">
      <alignment horizontal="center" vertical="center" wrapText="1"/>
    </xf>
    <xf numFmtId="0" fontId="6" fillId="0" borderId="24" xfId="0" applyFont="1" applyBorder="1" applyAlignment="1">
      <alignment horizontal="center" vertical="center" wrapText="1"/>
    </xf>
    <xf numFmtId="0" fontId="9" fillId="6" borderId="23" xfId="0" applyFont="1" applyFill="1" applyBorder="1" applyAlignment="1">
      <alignment horizontal="center" vertical="center" wrapText="1"/>
    </xf>
    <xf numFmtId="0" fontId="9" fillId="6" borderId="36" xfId="0" applyFont="1" applyFill="1" applyBorder="1" applyAlignment="1">
      <alignment horizontal="center" vertical="center" wrapText="1"/>
    </xf>
    <xf numFmtId="0" fontId="9" fillId="6" borderId="24" xfId="0" applyFont="1" applyFill="1" applyBorder="1" applyAlignment="1">
      <alignment horizontal="center" vertical="center" wrapText="1"/>
    </xf>
    <xf numFmtId="0" fontId="9" fillId="6" borderId="28" xfId="0" applyFont="1" applyFill="1" applyBorder="1" applyAlignment="1">
      <alignment horizontal="center" vertical="center"/>
    </xf>
    <xf numFmtId="0" fontId="9" fillId="6" borderId="29" xfId="0" applyFont="1" applyFill="1" applyBorder="1" applyAlignment="1">
      <alignment horizontal="center" vertical="center"/>
    </xf>
    <xf numFmtId="0" fontId="12" fillId="8" borderId="23" xfId="0" applyFont="1" applyFill="1" applyBorder="1" applyAlignment="1">
      <alignment horizontal="center" vertical="center"/>
    </xf>
    <xf numFmtId="0" fontId="12" fillId="8" borderId="36" xfId="0" applyFont="1" applyFill="1" applyBorder="1" applyAlignment="1">
      <alignment horizontal="center" vertical="center"/>
    </xf>
    <xf numFmtId="0" fontId="12" fillId="8" borderId="2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24" xfId="0" applyFont="1" applyFill="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19" xfId="0" applyFont="1" applyBorder="1" applyAlignment="1">
      <alignment horizontal="center" vertical="center" wrapText="1"/>
    </xf>
    <xf numFmtId="0" fontId="3" fillId="2" borderId="2" xfId="0" applyFont="1" applyFill="1" applyBorder="1" applyAlignment="1">
      <alignment horizontal="center" vertical="center" wrapText="1"/>
    </xf>
    <xf numFmtId="0" fontId="0" fillId="0" borderId="0" xfId="0" applyFont="1" applyAlignment="1">
      <alignment horizontal="center" vertical="center" wrapText="1"/>
    </xf>
    <xf numFmtId="0" fontId="3" fillId="2" borderId="1" xfId="0" applyFont="1" applyFill="1" applyBorder="1" applyAlignment="1">
      <alignment horizontal="left" vertical="center"/>
    </xf>
    <xf numFmtId="0" fontId="0" fillId="2" borderId="2" xfId="0" applyFont="1" applyFill="1" applyBorder="1" applyAlignment="1">
      <alignment horizontal="left" vertical="center"/>
    </xf>
    <xf numFmtId="0" fontId="0" fillId="2" borderId="3" xfId="0" applyFont="1" applyFill="1" applyBorder="1" applyAlignment="1">
      <alignment horizontal="left" vertical="center"/>
    </xf>
    <xf numFmtId="0" fontId="0" fillId="2" borderId="2" xfId="0" applyFont="1" applyFill="1" applyBorder="1" applyAlignment="1">
      <alignment horizontal="center" vertical="center"/>
    </xf>
    <xf numFmtId="0" fontId="0" fillId="2" borderId="19" xfId="0" applyFont="1" applyFill="1" applyBorder="1" applyAlignment="1">
      <alignment horizontal="center" vertical="center"/>
    </xf>
    <xf numFmtId="0" fontId="0" fillId="2" borderId="1" xfId="0" applyFont="1" applyFill="1" applyBorder="1" applyAlignment="1">
      <alignment horizontal="center" vertical="center"/>
    </xf>
    <xf numFmtId="0" fontId="0" fillId="2" borderId="3" xfId="0" applyFont="1" applyFill="1" applyBorder="1" applyAlignment="1">
      <alignment horizontal="center" vertical="center"/>
    </xf>
    <xf numFmtId="0" fontId="0" fillId="0" borderId="0" xfId="0" applyFont="1" applyAlignment="1">
      <alignment horizontal="left" vertical="center"/>
    </xf>
    <xf numFmtId="0" fontId="3" fillId="0" borderId="1" xfId="0" applyFont="1" applyBorder="1" applyAlignment="1">
      <alignment horizontal="left" vertical="center"/>
    </xf>
    <xf numFmtId="0" fontId="0" fillId="0" borderId="3" xfId="0" applyFont="1" applyBorder="1" applyAlignment="1">
      <alignment horizontal="center"/>
    </xf>
    <xf numFmtId="2" fontId="0" fillId="0" borderId="2" xfId="0" applyNumberFormat="1" applyFont="1" applyBorder="1" applyAlignment="1">
      <alignment horizontal="center" vertical="center"/>
    </xf>
    <xf numFmtId="1" fontId="0" fillId="0" borderId="2" xfId="1" applyNumberFormat="1" applyFont="1" applyBorder="1" applyAlignment="1">
      <alignment horizontal="center" vertical="center"/>
    </xf>
    <xf numFmtId="0" fontId="0" fillId="0" borderId="19" xfId="0" applyFont="1" applyBorder="1" applyAlignment="1">
      <alignment horizontal="center" vertical="center"/>
    </xf>
    <xf numFmtId="0" fontId="0" fillId="0" borderId="1" xfId="0" applyFont="1" applyBorder="1" applyAlignment="1">
      <alignment horizontal="center" vertical="center"/>
    </xf>
    <xf numFmtId="0" fontId="0" fillId="0" borderId="2" xfId="0" applyFont="1" applyBorder="1" applyAlignment="1">
      <alignment horizontal="center" vertical="center"/>
    </xf>
    <xf numFmtId="0" fontId="0" fillId="0" borderId="3" xfId="0" applyFont="1" applyBorder="1" applyAlignment="1">
      <alignment horizontal="center" vertical="center"/>
    </xf>
    <xf numFmtId="0" fontId="3" fillId="0" borderId="4" xfId="0" applyFont="1" applyBorder="1" applyAlignment="1">
      <alignment horizontal="left" vertical="center"/>
    </xf>
    <xf numFmtId="0" fontId="0" fillId="0" borderId="5" xfId="0" applyFont="1" applyBorder="1" applyAlignment="1">
      <alignment horizontal="center"/>
    </xf>
    <xf numFmtId="2" fontId="0" fillId="0" borderId="0" xfId="0" applyNumberFormat="1" applyFont="1" applyBorder="1" applyAlignment="1">
      <alignment horizontal="center" vertical="center"/>
    </xf>
    <xf numFmtId="1" fontId="0" fillId="0" borderId="0" xfId="1" applyNumberFormat="1" applyFont="1" applyBorder="1" applyAlignment="1">
      <alignment horizontal="center" vertical="center"/>
    </xf>
    <xf numFmtId="0" fontId="0" fillId="0" borderId="20" xfId="0" applyFont="1" applyBorder="1" applyAlignment="1">
      <alignment horizontal="center" vertical="center"/>
    </xf>
    <xf numFmtId="0" fontId="0" fillId="0" borderId="4" xfId="0" applyFont="1" applyBorder="1" applyAlignment="1">
      <alignment horizontal="center" vertical="center"/>
    </xf>
    <xf numFmtId="0" fontId="0" fillId="0" borderId="5" xfId="0" applyFont="1" applyBorder="1" applyAlignment="1">
      <alignment horizontal="center" vertical="center"/>
    </xf>
    <xf numFmtId="0" fontId="0" fillId="2" borderId="0" xfId="0" applyFont="1" applyFill="1" applyBorder="1" applyAlignment="1">
      <alignment horizontal="center" vertical="center"/>
    </xf>
    <xf numFmtId="0" fontId="3" fillId="0" borderId="9" xfId="0" applyFont="1" applyBorder="1" applyAlignment="1">
      <alignment horizontal="left" vertical="center"/>
    </xf>
    <xf numFmtId="0" fontId="3" fillId="0" borderId="10" xfId="0" applyFont="1" applyBorder="1" applyAlignment="1">
      <alignment horizontal="left" vertical="center"/>
    </xf>
    <xf numFmtId="0" fontId="3" fillId="0" borderId="11" xfId="0" applyFont="1" applyBorder="1" applyAlignment="1">
      <alignment horizontal="center"/>
    </xf>
    <xf numFmtId="2" fontId="3" fillId="0" borderId="10" xfId="0" applyNumberFormat="1" applyFont="1" applyBorder="1" applyAlignment="1">
      <alignment horizontal="center" vertical="center"/>
    </xf>
    <xf numFmtId="1" fontId="3" fillId="0" borderId="10" xfId="1" applyNumberFormat="1" applyFont="1" applyBorder="1" applyAlignment="1">
      <alignment horizontal="center" vertical="center"/>
    </xf>
    <xf numFmtId="0" fontId="3" fillId="0" borderId="1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3" fillId="0" borderId="11" xfId="0" applyFont="1" applyBorder="1" applyAlignment="1">
      <alignment horizontal="center" vertical="center"/>
    </xf>
    <xf numFmtId="0" fontId="3" fillId="2" borderId="10"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left" vertical="center"/>
    </xf>
    <xf numFmtId="0" fontId="3" fillId="2" borderId="4" xfId="0" applyFont="1" applyFill="1" applyBorder="1" applyAlignment="1">
      <alignment horizontal="left" vertical="center"/>
    </xf>
    <xf numFmtId="0" fontId="0" fillId="2" borderId="5" xfId="0" applyFont="1" applyFill="1" applyBorder="1" applyAlignment="1">
      <alignment horizontal="center"/>
    </xf>
    <xf numFmtId="2" fontId="0" fillId="2" borderId="0" xfId="0" applyNumberFormat="1" applyFont="1" applyFill="1" applyBorder="1" applyAlignment="1">
      <alignment horizontal="center" vertical="center"/>
    </xf>
    <xf numFmtId="1" fontId="0" fillId="2" borderId="0" xfId="1" applyNumberFormat="1" applyFont="1" applyFill="1" applyBorder="1" applyAlignment="1">
      <alignment horizontal="center" vertical="center"/>
    </xf>
    <xf numFmtId="0" fontId="0" fillId="2" borderId="20" xfId="0" applyFont="1" applyFill="1" applyBorder="1" applyAlignment="1">
      <alignment horizontal="center" vertical="center"/>
    </xf>
    <xf numFmtId="0" fontId="0" fillId="2" borderId="4" xfId="0" applyFont="1" applyFill="1" applyBorder="1" applyAlignment="1">
      <alignment horizontal="center" vertical="center"/>
    </xf>
    <xf numFmtId="0" fontId="0" fillId="2" borderId="5" xfId="0" applyFont="1" applyFill="1" applyBorder="1" applyAlignment="1">
      <alignment horizontal="center" vertical="center"/>
    </xf>
    <xf numFmtId="0" fontId="0" fillId="0" borderId="4" xfId="0" applyFont="1" applyBorder="1" applyAlignment="1">
      <alignment horizontal="left" vertical="center"/>
    </xf>
    <xf numFmtId="0" fontId="0" fillId="0" borderId="6" xfId="0" applyFont="1" applyBorder="1" applyAlignment="1">
      <alignment horizontal="left" vertical="center"/>
    </xf>
    <xf numFmtId="0" fontId="0" fillId="0" borderId="7" xfId="0" applyFont="1" applyBorder="1" applyAlignment="1">
      <alignment horizontal="left" vertical="center"/>
    </xf>
    <xf numFmtId="0" fontId="0" fillId="0" borderId="8" xfId="0" applyFont="1" applyBorder="1" applyAlignment="1">
      <alignment horizontal="center"/>
    </xf>
    <xf numFmtId="0" fontId="0" fillId="2" borderId="21" xfId="0" applyFont="1" applyFill="1" applyBorder="1" applyAlignment="1">
      <alignment horizontal="center" vertical="center"/>
    </xf>
    <xf numFmtId="1" fontId="0" fillId="2" borderId="2" xfId="1" applyNumberFormat="1" applyFont="1" applyFill="1" applyBorder="1" applyAlignment="1">
      <alignment horizontal="center" vertical="center"/>
    </xf>
    <xf numFmtId="0" fontId="3" fillId="2" borderId="58" xfId="0" applyFont="1" applyFill="1" applyBorder="1" applyAlignment="1">
      <alignment horizontal="left" vertical="center"/>
    </xf>
    <xf numFmtId="0" fontId="0" fillId="2" borderId="59" xfId="0" applyFont="1" applyFill="1" applyBorder="1" applyAlignment="1">
      <alignment horizontal="left" vertical="center"/>
    </xf>
    <xf numFmtId="0" fontId="0" fillId="2" borderId="60" xfId="0" applyFont="1" applyFill="1" applyBorder="1" applyAlignment="1">
      <alignment horizontal="center"/>
    </xf>
    <xf numFmtId="2" fontId="0" fillId="2" borderId="59" xfId="0" applyNumberFormat="1" applyFont="1" applyFill="1" applyBorder="1" applyAlignment="1">
      <alignment horizontal="center" vertical="center"/>
    </xf>
    <xf numFmtId="1" fontId="0" fillId="2" borderId="59" xfId="1" applyNumberFormat="1" applyFont="1" applyFill="1" applyBorder="1" applyAlignment="1">
      <alignment horizontal="center" vertical="center"/>
    </xf>
    <xf numFmtId="0" fontId="0" fillId="2" borderId="61" xfId="0" applyFont="1" applyFill="1" applyBorder="1" applyAlignment="1">
      <alignment horizontal="center" vertical="center"/>
    </xf>
    <xf numFmtId="0" fontId="0" fillId="2" borderId="62" xfId="0" applyFont="1" applyFill="1" applyBorder="1" applyAlignment="1">
      <alignment horizontal="center" vertical="center"/>
    </xf>
    <xf numFmtId="0" fontId="0" fillId="2" borderId="59" xfId="0" applyFont="1" applyFill="1" applyBorder="1" applyAlignment="1">
      <alignment horizontal="center" vertical="center"/>
    </xf>
    <xf numFmtId="0" fontId="0" fillId="2" borderId="60" xfId="0" applyFont="1" applyFill="1" applyBorder="1" applyAlignment="1">
      <alignment horizontal="center" vertical="center"/>
    </xf>
    <xf numFmtId="0" fontId="0" fillId="2" borderId="63" xfId="0" applyFont="1" applyFill="1" applyBorder="1" applyAlignment="1">
      <alignment horizontal="center" vertical="center"/>
    </xf>
    <xf numFmtId="0" fontId="3" fillId="0" borderId="64" xfId="0" applyFont="1" applyBorder="1" applyAlignment="1">
      <alignment horizontal="left" vertical="center"/>
    </xf>
    <xf numFmtId="0" fontId="0" fillId="0" borderId="65" xfId="0" applyFont="1" applyBorder="1" applyAlignment="1">
      <alignment horizontal="center" vertical="center"/>
    </xf>
    <xf numFmtId="0" fontId="3" fillId="0" borderId="66" xfId="0" applyFont="1" applyBorder="1" applyAlignment="1">
      <alignment horizontal="left" vertical="center"/>
    </xf>
    <xf numFmtId="0" fontId="0" fillId="0" borderId="67" xfId="0" applyFont="1" applyBorder="1" applyAlignment="1">
      <alignment horizontal="center" vertical="center"/>
    </xf>
    <xf numFmtId="0" fontId="3" fillId="0" borderId="68" xfId="0" applyFont="1" applyBorder="1" applyAlignment="1">
      <alignment horizontal="left" vertical="center"/>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69" xfId="0" applyFont="1" applyBorder="1" applyAlignment="1">
      <alignment horizontal="center" vertical="center"/>
    </xf>
    <xf numFmtId="0" fontId="3" fillId="2" borderId="66" xfId="0" applyFont="1" applyFill="1" applyBorder="1" applyAlignment="1">
      <alignment horizontal="left" vertical="center"/>
    </xf>
    <xf numFmtId="0" fontId="0" fillId="2" borderId="67" xfId="0" applyFont="1" applyFill="1" applyBorder="1" applyAlignment="1">
      <alignment horizontal="center" vertical="center"/>
    </xf>
    <xf numFmtId="0" fontId="0" fillId="2" borderId="5" xfId="0" applyFont="1" applyFill="1" applyBorder="1" applyAlignment="1">
      <alignment horizontal="left" vertical="center"/>
    </xf>
    <xf numFmtId="0" fontId="3" fillId="0" borderId="70" xfId="0" applyFont="1" applyBorder="1" applyAlignment="1">
      <alignment horizontal="left" vertical="center"/>
    </xf>
    <xf numFmtId="0" fontId="3" fillId="0" borderId="71" xfId="0" applyFont="1" applyBorder="1" applyAlignment="1">
      <alignment horizontal="left" vertical="center"/>
    </xf>
    <xf numFmtId="0" fontId="3" fillId="0" borderId="72" xfId="0" applyFont="1" applyBorder="1" applyAlignment="1">
      <alignment horizontal="center"/>
    </xf>
    <xf numFmtId="2" fontId="3" fillId="0" borderId="71" xfId="0" applyNumberFormat="1" applyFont="1" applyBorder="1" applyAlignment="1">
      <alignment horizontal="center" vertical="center"/>
    </xf>
    <xf numFmtId="1" fontId="3" fillId="0" borderId="71" xfId="1" applyNumberFormat="1" applyFont="1" applyBorder="1" applyAlignment="1">
      <alignment horizontal="center" vertical="center"/>
    </xf>
    <xf numFmtId="0" fontId="3" fillId="0" borderId="73" xfId="0" applyFont="1" applyBorder="1" applyAlignment="1">
      <alignment horizontal="center" vertical="center"/>
    </xf>
    <xf numFmtId="0" fontId="3" fillId="0" borderId="74" xfId="0" applyFont="1" applyBorder="1" applyAlignment="1">
      <alignment horizontal="center" vertical="center"/>
    </xf>
    <xf numFmtId="0" fontId="3" fillId="0" borderId="71" xfId="0" applyFont="1" applyBorder="1" applyAlignment="1">
      <alignment horizontal="center" vertical="center"/>
    </xf>
    <xf numFmtId="0" fontId="3" fillId="0" borderId="72" xfId="0" applyFont="1" applyBorder="1" applyAlignment="1">
      <alignment horizontal="center" vertical="center"/>
    </xf>
    <xf numFmtId="0" fontId="3" fillId="2" borderId="71" xfId="0" applyFont="1" applyFill="1" applyBorder="1" applyAlignment="1">
      <alignment horizontal="center" vertical="center"/>
    </xf>
    <xf numFmtId="0" fontId="3" fillId="0" borderId="75" xfId="0" applyFont="1" applyBorder="1" applyAlignment="1">
      <alignment horizontal="center" vertical="center"/>
    </xf>
    <xf numFmtId="0" fontId="0" fillId="2" borderId="0" xfId="0" applyFont="1" applyFill="1" applyBorder="1" applyAlignment="1">
      <alignment horizontal="left" vertical="center"/>
    </xf>
    <xf numFmtId="0" fontId="3" fillId="0" borderId="2" xfId="0" applyFont="1" applyBorder="1" applyAlignment="1">
      <alignment horizontal="left" vertical="center"/>
    </xf>
    <xf numFmtId="0" fontId="3" fillId="0" borderId="3" xfId="0" applyFont="1" applyBorder="1" applyAlignment="1">
      <alignment horizontal="center"/>
    </xf>
    <xf numFmtId="1" fontId="3" fillId="0" borderId="2" xfId="1" applyNumberFormat="1" applyFont="1" applyBorder="1" applyAlignment="1">
      <alignment horizontal="center" vertical="center"/>
    </xf>
    <xf numFmtId="0" fontId="3" fillId="0" borderId="1" xfId="0" applyFont="1" applyBorder="1" applyAlignment="1">
      <alignment horizontal="center" vertical="center"/>
    </xf>
    <xf numFmtId="0" fontId="3" fillId="2" borderId="2" xfId="0" applyFont="1" applyFill="1" applyBorder="1" applyAlignment="1">
      <alignment horizontal="center" vertical="center"/>
    </xf>
    <xf numFmtId="0" fontId="3" fillId="0" borderId="6" xfId="0" applyFont="1" applyBorder="1" applyAlignment="1">
      <alignment horizontal="left" vertical="center"/>
    </xf>
    <xf numFmtId="0" fontId="3" fillId="0" borderId="7" xfId="0" applyFont="1" applyBorder="1" applyAlignment="1">
      <alignment horizontal="left" vertical="center"/>
    </xf>
    <xf numFmtId="0" fontId="3" fillId="0" borderId="8" xfId="0" applyFont="1" applyBorder="1" applyAlignment="1">
      <alignment horizontal="center"/>
    </xf>
    <xf numFmtId="0" fontId="3" fillId="0" borderId="7" xfId="0" applyFont="1" applyBorder="1" applyAlignment="1">
      <alignment horizontal="center" vertical="center"/>
    </xf>
    <xf numFmtId="1" fontId="3" fillId="0" borderId="7" xfId="1" applyNumberFormat="1" applyFont="1" applyBorder="1" applyAlignment="1">
      <alignment horizontal="center" vertical="center"/>
    </xf>
    <xf numFmtId="0" fontId="3" fillId="0" borderId="21" xfId="0" applyFont="1" applyBorder="1" applyAlignment="1">
      <alignment horizontal="center" vertical="center"/>
    </xf>
    <xf numFmtId="0" fontId="3" fillId="0" borderId="6" xfId="0" applyFont="1" applyBorder="1" applyAlignment="1">
      <alignment horizontal="center" vertical="center"/>
    </xf>
    <xf numFmtId="0" fontId="3" fillId="0" borderId="8" xfId="0" applyFont="1" applyBorder="1" applyAlignment="1">
      <alignment horizontal="center" vertical="center"/>
    </xf>
    <xf numFmtId="0" fontId="3" fillId="2" borderId="7"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0" xfId="0" applyFont="1" applyFill="1" applyBorder="1" applyAlignment="1">
      <alignment horizontal="center" vertical="center"/>
    </xf>
    <xf numFmtId="0" fontId="0" fillId="0" borderId="5" xfId="0" applyFont="1" applyFill="1" applyBorder="1" applyAlignment="1">
      <alignment horizontal="center" vertical="center"/>
    </xf>
    <xf numFmtId="0" fontId="3" fillId="0" borderId="58" xfId="0" applyFont="1" applyBorder="1" applyAlignment="1">
      <alignment horizontal="left" vertical="center" wrapText="1"/>
    </xf>
    <xf numFmtId="0" fontId="0" fillId="0" borderId="59" xfId="0" applyFont="1" applyBorder="1" applyAlignment="1">
      <alignment horizontal="center" vertical="center" wrapText="1"/>
    </xf>
    <xf numFmtId="0" fontId="3" fillId="0" borderId="61" xfId="0" applyFont="1" applyBorder="1" applyAlignment="1">
      <alignment horizontal="center" vertical="center"/>
    </xf>
    <xf numFmtId="0" fontId="3" fillId="0" borderId="62" xfId="0" applyFont="1" applyBorder="1" applyAlignment="1">
      <alignment horizontal="center" vertical="center" wrapText="1"/>
    </xf>
    <xf numFmtId="0" fontId="3" fillId="0" borderId="59" xfId="0" applyFont="1" applyBorder="1" applyAlignment="1">
      <alignment horizontal="center" vertical="center" wrapText="1"/>
    </xf>
    <xf numFmtId="0" fontId="3" fillId="0" borderId="60" xfId="0" applyFont="1" applyBorder="1" applyAlignment="1">
      <alignment horizontal="center" vertical="center" wrapText="1"/>
    </xf>
    <xf numFmtId="0" fontId="0" fillId="0" borderId="61" xfId="0" applyFont="1" applyBorder="1" applyAlignment="1">
      <alignment horizontal="center" vertical="center" wrapText="1"/>
    </xf>
    <xf numFmtId="0" fontId="0" fillId="0" borderId="62" xfId="0" applyFont="1" applyBorder="1" applyAlignment="1">
      <alignment horizontal="center" vertical="center" wrapText="1"/>
    </xf>
    <xf numFmtId="0" fontId="0" fillId="0" borderId="60" xfId="0" applyFont="1" applyBorder="1" applyAlignment="1">
      <alignment horizontal="center" vertical="center" wrapText="1"/>
    </xf>
    <xf numFmtId="0" fontId="0" fillId="2" borderId="59" xfId="0" applyFont="1" applyFill="1" applyBorder="1" applyAlignment="1">
      <alignment horizontal="center" vertical="center" wrapText="1"/>
    </xf>
    <xf numFmtId="0" fontId="0" fillId="0" borderId="63" xfId="0" applyFont="1" applyBorder="1" applyAlignment="1">
      <alignment horizontal="center" vertical="center" wrapText="1"/>
    </xf>
    <xf numFmtId="0" fontId="3" fillId="0" borderId="66" xfId="0" applyFont="1" applyBorder="1" applyAlignment="1">
      <alignment horizontal="left" vertical="center" wrapText="1"/>
    </xf>
    <xf numFmtId="0" fontId="0" fillId="0" borderId="0" xfId="0" applyFont="1" applyBorder="1" applyAlignment="1">
      <alignment horizontal="center" vertical="center" wrapText="1"/>
    </xf>
    <xf numFmtId="0" fontId="3" fillId="0" borderId="20" xfId="0" applyFont="1" applyBorder="1" applyAlignment="1">
      <alignment horizontal="center" vertical="center"/>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0" fillId="0" borderId="20" xfId="0" applyFont="1" applyBorder="1" applyAlignment="1">
      <alignment horizontal="center" vertical="center" wrapText="1"/>
    </xf>
    <xf numFmtId="0" fontId="0" fillId="0" borderId="4" xfId="0" applyFont="1" applyBorder="1" applyAlignment="1">
      <alignment horizontal="center" vertical="center" wrapText="1"/>
    </xf>
    <xf numFmtId="0" fontId="0" fillId="0" borderId="5" xfId="0" applyFont="1" applyBorder="1" applyAlignment="1">
      <alignment horizontal="center" vertical="center" wrapText="1"/>
    </xf>
    <xf numFmtId="0" fontId="0" fillId="2" borderId="0" xfId="0" applyFont="1" applyFill="1" applyBorder="1" applyAlignment="1">
      <alignment horizontal="center" vertical="center" wrapText="1"/>
    </xf>
    <xf numFmtId="167" fontId="0" fillId="0" borderId="0" xfId="0" applyNumberFormat="1" applyFont="1" applyBorder="1" applyAlignment="1">
      <alignment horizontal="center" vertical="center"/>
    </xf>
    <xf numFmtId="0" fontId="3" fillId="0" borderId="21"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Border="1" applyAlignment="1">
      <alignment horizontal="center" vertical="center"/>
    </xf>
    <xf numFmtId="167" fontId="0" fillId="0" borderId="4" xfId="0" applyNumberFormat="1" applyFont="1" applyBorder="1" applyAlignment="1">
      <alignment horizontal="center" vertical="center"/>
    </xf>
    <xf numFmtId="167" fontId="0" fillId="0" borderId="5" xfId="0" applyNumberFormat="1" applyFont="1" applyBorder="1" applyAlignment="1">
      <alignment horizontal="center" vertical="center"/>
    </xf>
    <xf numFmtId="0" fontId="0" fillId="0" borderId="6" xfId="0" applyFont="1" applyBorder="1" applyAlignment="1">
      <alignment horizontal="center" vertical="center"/>
    </xf>
    <xf numFmtId="0" fontId="0" fillId="0" borderId="7" xfId="0" applyFont="1" applyBorder="1" applyAlignment="1">
      <alignment horizontal="center" vertical="center"/>
    </xf>
    <xf numFmtId="0" fontId="0" fillId="0" borderId="76" xfId="0" applyFont="1" applyBorder="1" applyAlignment="1">
      <alignment horizontal="center" vertical="center"/>
    </xf>
    <xf numFmtId="167" fontId="0" fillId="0" borderId="10" xfId="0" applyNumberFormat="1" applyFont="1" applyBorder="1" applyAlignment="1">
      <alignment horizontal="center" vertical="center"/>
    </xf>
    <xf numFmtId="0" fontId="0" fillId="0" borderId="18" xfId="0" applyFont="1" applyBorder="1" applyAlignment="1">
      <alignment horizontal="center" vertical="center"/>
    </xf>
    <xf numFmtId="0" fontId="0" fillId="0" borderId="9" xfId="0" applyFont="1" applyBorder="1" applyAlignment="1">
      <alignment horizontal="center" vertical="center"/>
    </xf>
    <xf numFmtId="0" fontId="0" fillId="0" borderId="10" xfId="0" applyFont="1" applyBorder="1" applyAlignment="1">
      <alignment horizontal="center" vertical="center"/>
    </xf>
    <xf numFmtId="167" fontId="0" fillId="0" borderId="9" xfId="0" applyNumberFormat="1" applyFont="1" applyBorder="1" applyAlignment="1">
      <alignment horizontal="center" vertical="center"/>
    </xf>
    <xf numFmtId="167" fontId="0" fillId="0" borderId="11" xfId="0" applyNumberFormat="1" applyFont="1" applyBorder="1" applyAlignment="1">
      <alignment horizontal="center" vertical="center"/>
    </xf>
    <xf numFmtId="0" fontId="0" fillId="2" borderId="10" xfId="0" applyFont="1" applyFill="1" applyBorder="1" applyAlignment="1">
      <alignment horizontal="center" vertical="center"/>
    </xf>
    <xf numFmtId="2" fontId="20" fillId="0" borderId="9" xfId="0" applyNumberFormat="1" applyFont="1" applyBorder="1" applyAlignment="1">
      <alignment horizontal="center" vertical="center"/>
    </xf>
    <xf numFmtId="165" fontId="20" fillId="0" borderId="10" xfId="0" applyNumberFormat="1" applyFont="1" applyBorder="1" applyAlignment="1">
      <alignment horizontal="center" vertical="center"/>
    </xf>
    <xf numFmtId="165" fontId="20" fillId="0" borderId="69" xfId="0" applyNumberFormat="1" applyFont="1" applyBorder="1" applyAlignment="1">
      <alignment horizontal="center" vertical="center"/>
    </xf>
    <xf numFmtId="0" fontId="3" fillId="0" borderId="64" xfId="0" applyFont="1" applyBorder="1" applyAlignment="1">
      <alignment horizontal="left" vertical="center" wrapText="1"/>
    </xf>
    <xf numFmtId="0" fontId="0" fillId="0" borderId="2" xfId="0" applyFont="1" applyBorder="1" applyAlignment="1">
      <alignment horizontal="center" vertical="center" wrapText="1"/>
    </xf>
    <xf numFmtId="0" fontId="3" fillId="0" borderId="19"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0" fillId="0" borderId="19" xfId="0" applyFont="1" applyBorder="1" applyAlignment="1">
      <alignment horizontal="center" vertical="center" wrapText="1"/>
    </xf>
    <xf numFmtId="0" fontId="0" fillId="0" borderId="1" xfId="0" applyFont="1" applyBorder="1" applyAlignment="1">
      <alignment horizontal="center" vertical="center" wrapText="1"/>
    </xf>
    <xf numFmtId="0" fontId="0" fillId="0" borderId="3" xfId="0" applyFont="1" applyBorder="1" applyAlignment="1">
      <alignment horizontal="center" vertical="center" wrapText="1"/>
    </xf>
    <xf numFmtId="0" fontId="0" fillId="2" borderId="2" xfId="0" applyFont="1" applyFill="1" applyBorder="1" applyAlignment="1">
      <alignment horizontal="center" vertical="center" wrapText="1"/>
    </xf>
    <xf numFmtId="0" fontId="0" fillId="0" borderId="65" xfId="0" applyFont="1" applyBorder="1" applyAlignment="1">
      <alignment horizontal="center" vertical="center" wrapText="1"/>
    </xf>
    <xf numFmtId="167" fontId="3" fillId="0" borderId="74" xfId="0" applyNumberFormat="1" applyFont="1" applyBorder="1" applyAlignment="1">
      <alignment horizontal="center" vertical="center"/>
    </xf>
    <xf numFmtId="167" fontId="3" fillId="0" borderId="71" xfId="0" applyNumberFormat="1" applyFont="1" applyBorder="1" applyAlignment="1">
      <alignment horizontal="center" vertical="center"/>
    </xf>
    <xf numFmtId="167" fontId="3" fillId="0" borderId="72" xfId="0" applyNumberFormat="1" applyFont="1" applyBorder="1" applyAlignment="1">
      <alignment horizontal="center" vertical="center"/>
    </xf>
    <xf numFmtId="165" fontId="3" fillId="0" borderId="74" xfId="0" applyNumberFormat="1" applyFont="1" applyBorder="1" applyAlignment="1">
      <alignment horizontal="center" vertical="center"/>
    </xf>
    <xf numFmtId="165" fontId="3" fillId="0" borderId="71" xfId="0" applyNumberFormat="1" applyFont="1" applyBorder="1" applyAlignment="1">
      <alignment horizontal="center" vertical="center"/>
    </xf>
    <xf numFmtId="165" fontId="3" fillId="0" borderId="75" xfId="0" applyNumberFormat="1" applyFont="1" applyBorder="1" applyAlignment="1">
      <alignment horizontal="center" vertical="center"/>
    </xf>
    <xf numFmtId="0" fontId="3" fillId="0" borderId="9" xfId="0" applyFont="1" applyBorder="1" applyAlignment="1">
      <alignment horizontal="left" vertical="center"/>
    </xf>
    <xf numFmtId="0" fontId="3" fillId="0" borderId="10" xfId="0" applyFont="1" applyBorder="1" applyAlignment="1">
      <alignment horizontal="left" vertical="center"/>
    </xf>
    <xf numFmtId="0" fontId="3" fillId="0" borderId="11" xfId="0" applyFont="1" applyBorder="1" applyAlignment="1">
      <alignment horizontal="left" vertical="center"/>
    </xf>
    <xf numFmtId="1" fontId="3" fillId="0" borderId="9" xfId="0" applyNumberFormat="1" applyFont="1" applyBorder="1" applyAlignment="1">
      <alignment horizontal="center" vertical="center"/>
    </xf>
    <xf numFmtId="1" fontId="3" fillId="0" borderId="10" xfId="0" applyNumberFormat="1" applyFont="1" applyBorder="1" applyAlignment="1">
      <alignment horizontal="center" vertical="center"/>
    </xf>
    <xf numFmtId="1" fontId="3" fillId="0" borderId="11" xfId="0" applyNumberFormat="1" applyFont="1" applyBorder="1" applyAlignment="1">
      <alignment horizontal="center" vertical="center"/>
    </xf>
    <xf numFmtId="9" fontId="3" fillId="0" borderId="9" xfId="1" applyFont="1" applyBorder="1" applyAlignment="1">
      <alignment horizontal="center" vertical="center"/>
    </xf>
    <xf numFmtId="9" fontId="3" fillId="0" borderId="10" xfId="1" applyFont="1" applyBorder="1" applyAlignment="1">
      <alignment horizontal="center" vertical="center"/>
    </xf>
    <xf numFmtId="9" fontId="3" fillId="0" borderId="11" xfId="1" applyFont="1" applyBorder="1" applyAlignment="1">
      <alignment horizontal="center" vertical="center"/>
    </xf>
    <xf numFmtId="165" fontId="3" fillId="0" borderId="9" xfId="0" applyNumberFormat="1" applyFont="1" applyBorder="1" applyAlignment="1">
      <alignment horizontal="center" vertical="center"/>
    </xf>
    <xf numFmtId="165" fontId="3" fillId="0" borderId="10" xfId="0" applyNumberFormat="1" applyFont="1" applyBorder="1" applyAlignment="1">
      <alignment horizontal="center" vertical="center"/>
    </xf>
    <xf numFmtId="165" fontId="3" fillId="0" borderId="11" xfId="0" applyNumberFormat="1" applyFont="1" applyBorder="1" applyAlignment="1">
      <alignment horizontal="center" vertical="center"/>
    </xf>
    <xf numFmtId="167" fontId="0" fillId="0" borderId="0" xfId="0" applyNumberFormat="1" applyFont="1" applyAlignment="1">
      <alignment horizontal="left" vertical="center"/>
    </xf>
    <xf numFmtId="167" fontId="0" fillId="0" borderId="0" xfId="0" applyNumberFormat="1" applyFont="1" applyAlignment="1">
      <alignment horizontal="center" vertical="center"/>
    </xf>
    <xf numFmtId="0" fontId="3" fillId="0" borderId="50" xfId="0" applyFont="1" applyBorder="1" applyAlignment="1">
      <alignment horizontal="left" vertical="center"/>
    </xf>
    <xf numFmtId="0" fontId="3" fillId="0" borderId="51" xfId="0" applyFont="1" applyBorder="1" applyAlignment="1">
      <alignment horizontal="left" vertical="center"/>
    </xf>
    <xf numFmtId="0" fontId="3" fillId="0" borderId="52" xfId="0" applyFont="1" applyBorder="1" applyAlignment="1">
      <alignment horizontal="center" vertical="center"/>
    </xf>
    <xf numFmtId="0" fontId="0" fillId="0" borderId="53" xfId="0" applyFont="1" applyBorder="1" applyAlignment="1">
      <alignment horizontal="left" vertical="center"/>
    </xf>
    <xf numFmtId="0" fontId="0" fillId="0" borderId="54" xfId="0" applyFont="1" applyBorder="1" applyAlignment="1">
      <alignment horizontal="left" vertical="center"/>
    </xf>
    <xf numFmtId="0" fontId="0" fillId="0" borderId="54" xfId="0" applyFont="1" applyBorder="1" applyAlignment="1">
      <alignment horizontal="center" vertical="center"/>
    </xf>
    <xf numFmtId="0" fontId="0" fillId="0" borderId="55" xfId="0" applyFont="1" applyBorder="1" applyAlignment="1">
      <alignment horizontal="center" vertical="center"/>
    </xf>
    <xf numFmtId="0" fontId="0" fillId="0" borderId="13" xfId="0" applyFont="1" applyBorder="1" applyAlignment="1">
      <alignment horizontal="left" vertical="center"/>
    </xf>
    <xf numFmtId="0" fontId="0" fillId="0" borderId="12" xfId="0" applyFont="1" applyBorder="1" applyAlignment="1">
      <alignment horizontal="left" vertical="center"/>
    </xf>
    <xf numFmtId="0" fontId="0" fillId="0" borderId="14" xfId="0" applyFont="1" applyBorder="1" applyAlignment="1">
      <alignment horizontal="center" vertical="center"/>
    </xf>
    <xf numFmtId="0" fontId="0" fillId="0" borderId="15" xfId="0" applyFont="1" applyBorder="1" applyAlignment="1">
      <alignment horizontal="left" vertical="center"/>
    </xf>
    <xf numFmtId="0" fontId="0" fillId="0" borderId="16" xfId="0" applyFont="1" applyBorder="1" applyAlignment="1">
      <alignment horizontal="left" vertical="center"/>
    </xf>
    <xf numFmtId="0" fontId="0" fillId="0" borderId="16" xfId="0" applyFont="1" applyBorder="1" applyAlignment="1">
      <alignment horizontal="center" vertical="center"/>
    </xf>
    <xf numFmtId="0" fontId="0" fillId="0" borderId="17" xfId="0" applyFont="1" applyBorder="1" applyAlignment="1">
      <alignment horizontal="center" vertical="center"/>
    </xf>
    <xf numFmtId="9" fontId="3" fillId="0" borderId="0" xfId="0" applyNumberFormat="1" applyFont="1" applyAlignment="1">
      <alignment horizontal="left" vertical="center"/>
    </xf>
    <xf numFmtId="9" fontId="0" fillId="0" borderId="0" xfId="0" applyNumberFormat="1" applyFont="1" applyAlignment="1">
      <alignment horizontal="center" vertical="center"/>
    </xf>
    <xf numFmtId="1" fontId="0" fillId="0" borderId="0" xfId="0" applyNumberFormat="1" applyFont="1" applyAlignment="1">
      <alignment horizontal="center" vertical="center"/>
    </xf>
    <xf numFmtId="9" fontId="20" fillId="0" borderId="0" xfId="0" applyNumberFormat="1" applyFont="1" applyAlignment="1">
      <alignment horizontal="left" vertical="center"/>
    </xf>
    <xf numFmtId="0" fontId="20" fillId="0" borderId="0" xfId="0" applyFont="1" applyAlignment="1">
      <alignment horizontal="left" vertical="center"/>
    </xf>
    <xf numFmtId="0" fontId="19" fillId="0" borderId="0" xfId="0" applyFont="1" applyAlignment="1">
      <alignment horizontal="left" vertical="center"/>
    </xf>
    <xf numFmtId="166" fontId="0" fillId="0" borderId="0" xfId="4" applyNumberFormat="1" applyFont="1" applyAlignment="1">
      <alignment horizontal="left" vertical="center"/>
    </xf>
    <xf numFmtId="9" fontId="0" fillId="0" borderId="0" xfId="1" applyFont="1" applyAlignment="1">
      <alignment horizontal="center" vertical="center"/>
    </xf>
    <xf numFmtId="0" fontId="19" fillId="0" borderId="0" xfId="0" applyFont="1" applyAlignment="1">
      <alignment horizontal="center" vertical="center"/>
    </xf>
    <xf numFmtId="9" fontId="0" fillId="0" borderId="0" xfId="0" applyNumberFormat="1" applyFont="1" applyAlignment="1">
      <alignment horizontal="left" vertical="center"/>
    </xf>
    <xf numFmtId="1" fontId="19" fillId="0" borderId="0" xfId="0" applyNumberFormat="1" applyFont="1" applyAlignment="1">
      <alignment horizontal="center" vertical="center"/>
    </xf>
    <xf numFmtId="2" fontId="0" fillId="0" borderId="0" xfId="0" applyNumberFormat="1" applyFont="1" applyAlignment="1">
      <alignment horizontal="center" vertical="center"/>
    </xf>
    <xf numFmtId="2" fontId="0" fillId="0" borderId="0" xfId="0" applyNumberFormat="1" applyFont="1" applyAlignment="1">
      <alignment horizontal="left" vertical="center"/>
    </xf>
    <xf numFmtId="0" fontId="0" fillId="0" borderId="0" xfId="0" applyFont="1" applyFill="1"/>
    <xf numFmtId="0" fontId="0" fillId="0" borderId="0" xfId="0" applyFont="1" applyFill="1" applyBorder="1"/>
    <xf numFmtId="0" fontId="0" fillId="0" borderId="0" xfId="0" applyFont="1" applyFill="1" applyBorder="1" applyAlignment="1">
      <alignment horizontal="left" vertical="center"/>
    </xf>
    <xf numFmtId="0" fontId="0" fillId="0" borderId="0" xfId="0" applyFont="1" applyFill="1" applyBorder="1" applyAlignment="1">
      <alignment vertical="center"/>
    </xf>
    <xf numFmtId="9" fontId="0" fillId="0" borderId="0" xfId="0" applyNumberFormat="1" applyFont="1" applyFill="1" applyBorder="1" applyAlignment="1">
      <alignment vertical="center"/>
    </xf>
    <xf numFmtId="167" fontId="0" fillId="0" borderId="53" xfId="4" applyNumberFormat="1" applyFont="1" applyBorder="1" applyAlignment="1">
      <alignment horizontal="center" vertical="center"/>
    </xf>
    <xf numFmtId="167" fontId="0" fillId="0" borderId="55" xfId="4" applyNumberFormat="1" applyFont="1" applyBorder="1" applyAlignment="1">
      <alignment horizontal="center" vertical="center"/>
    </xf>
    <xf numFmtId="0" fontId="0" fillId="0" borderId="13" xfId="0" applyFont="1" applyBorder="1" applyAlignment="1">
      <alignment horizontal="center" vertical="center"/>
    </xf>
    <xf numFmtId="9" fontId="0" fillId="0" borderId="13" xfId="1" applyFont="1" applyBorder="1" applyAlignment="1">
      <alignment horizontal="center" vertical="center"/>
    </xf>
    <xf numFmtId="0" fontId="0" fillId="0" borderId="15" xfId="0" applyFont="1" applyBorder="1" applyAlignment="1">
      <alignment horizontal="center" vertical="center"/>
    </xf>
  </cellXfs>
  <cellStyles count="5">
    <cellStyle name="Currency" xfId="4" builtinId="4"/>
    <cellStyle name="Followed Hyperlink" xfId="3" builtinId="9" hidden="1"/>
    <cellStyle name="Hyperlink" xfId="2" builtinId="8" hidden="1"/>
    <cellStyle name="Normal" xfId="0" builtinId="0"/>
    <cellStyle name="Percent" xfId="1" builtinId="5"/>
  </cellStyles>
  <dxfs count="3">
    <dxf>
      <font>
        <color rgb="FF9C0006"/>
      </font>
      <fill>
        <patternFill>
          <bgColor rgb="FFFFC7CE"/>
        </patternFill>
      </fill>
    </dxf>
    <dxf>
      <font>
        <color rgb="FF9C5700"/>
      </font>
      <fill>
        <patternFill>
          <bgColor rgb="FFFFEB9C"/>
        </patternFill>
      </fill>
    </dxf>
    <dxf>
      <font>
        <b/>
        <i val="0"/>
        <color theme="1"/>
      </font>
      <fill>
        <patternFill>
          <bgColor theme="0"/>
        </patternFill>
      </fill>
    </dxf>
  </dxfs>
  <tableStyles count="0" defaultTableStyle="TableStyleMedium9" defaultPivotStyle="PivotStyleMedium7"/>
  <colors>
    <mruColors>
      <color rgb="FF8C8E91"/>
      <color rgb="FFF5F5F5"/>
      <color rgb="FF5C5E60"/>
      <color rgb="FF778F98"/>
      <color rgb="FF8C9A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C12"/>
  <sheetViews>
    <sheetView workbookViewId="0"/>
  </sheetViews>
  <sheetFormatPr baseColWidth="10" defaultRowHeight="21" x14ac:dyDescent="0.2"/>
  <cols>
    <col min="1" max="1" width="115.1640625" style="128" customWidth="1"/>
    <col min="2" max="16384" width="10.83203125" style="128"/>
  </cols>
  <sheetData>
    <row r="1" spans="1:3" ht="22" thickBot="1" x14ac:dyDescent="0.25">
      <c r="A1" s="134" t="s">
        <v>215</v>
      </c>
      <c r="B1" s="129"/>
      <c r="C1" s="130"/>
    </row>
    <row r="2" spans="1:3" ht="253" thickBot="1" x14ac:dyDescent="0.25">
      <c r="A2" s="133" t="s">
        <v>227</v>
      </c>
      <c r="B2" s="127"/>
      <c r="C2" s="131"/>
    </row>
    <row r="3" spans="1:3" ht="22" thickBot="1" x14ac:dyDescent="0.25">
      <c r="A3" s="132"/>
      <c r="B3" s="127"/>
      <c r="C3" s="131"/>
    </row>
    <row r="4" spans="1:3" ht="22" thickBot="1" x14ac:dyDescent="0.25">
      <c r="A4" s="134" t="s">
        <v>218</v>
      </c>
      <c r="B4" s="127"/>
      <c r="C4" s="131"/>
    </row>
    <row r="5" spans="1:3" ht="358" thickBot="1" x14ac:dyDescent="0.25">
      <c r="A5" s="133" t="s">
        <v>228</v>
      </c>
      <c r="B5" s="127"/>
      <c r="C5" s="131"/>
    </row>
    <row r="6" spans="1:3" ht="22" thickBot="1" x14ac:dyDescent="0.25">
      <c r="A6" s="132"/>
      <c r="B6" s="127"/>
      <c r="C6" s="131"/>
    </row>
    <row r="7" spans="1:3" ht="22" thickBot="1" x14ac:dyDescent="0.25">
      <c r="A7" s="134" t="s">
        <v>216</v>
      </c>
      <c r="B7" s="127"/>
      <c r="C7" s="131"/>
    </row>
    <row r="8" spans="1:3" ht="232" thickBot="1" x14ac:dyDescent="0.25">
      <c r="A8" s="133" t="s">
        <v>230</v>
      </c>
      <c r="B8" s="127"/>
      <c r="C8" s="131"/>
    </row>
    <row r="9" spans="1:3" ht="22" thickBot="1" x14ac:dyDescent="0.25">
      <c r="A9" s="132"/>
      <c r="B9" s="127"/>
      <c r="C9" s="131"/>
    </row>
    <row r="10" spans="1:3" ht="22" thickBot="1" x14ac:dyDescent="0.25">
      <c r="A10" s="134" t="s">
        <v>217</v>
      </c>
      <c r="B10" s="127"/>
      <c r="C10" s="131"/>
    </row>
    <row r="11" spans="1:3" ht="211" thickBot="1" x14ac:dyDescent="0.25">
      <c r="A11" s="133" t="s">
        <v>229</v>
      </c>
      <c r="B11" s="127"/>
      <c r="C11" s="131"/>
    </row>
    <row r="12" spans="1:3" ht="22" thickBot="1" x14ac:dyDescent="0.25">
      <c r="A12" s="30"/>
      <c r="B12" s="31"/>
      <c r="C12" s="3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K45"/>
  <sheetViews>
    <sheetView tabSelected="1" workbookViewId="0">
      <selection activeCell="B2" sqref="B2"/>
    </sheetView>
  </sheetViews>
  <sheetFormatPr baseColWidth="10" defaultRowHeight="19" x14ac:dyDescent="0.2"/>
  <cols>
    <col min="1" max="1" width="49.1640625" style="5" customWidth="1"/>
    <col min="2" max="2" width="40.33203125" style="5" customWidth="1"/>
    <col min="3" max="3" width="20.1640625" style="5" customWidth="1"/>
    <col min="4" max="4" width="26.83203125" style="5" bestFit="1" customWidth="1"/>
    <col min="5" max="5" width="35.1640625" style="5" customWidth="1"/>
    <col min="6" max="6" width="22.83203125" style="5" customWidth="1"/>
    <col min="7" max="9" width="18.33203125" style="5" customWidth="1"/>
    <col min="10" max="10" width="19.6640625" style="5" bestFit="1" customWidth="1"/>
    <col min="11" max="11" width="18.33203125" style="5" customWidth="1"/>
    <col min="12" max="16384" width="10.83203125" style="5"/>
  </cols>
  <sheetData>
    <row r="1" spans="1:6" ht="20" thickBot="1" x14ac:dyDescent="0.25">
      <c r="A1" s="26"/>
      <c r="B1" s="27"/>
      <c r="C1" s="27"/>
      <c r="D1" s="27"/>
      <c r="E1" s="27"/>
      <c r="F1" s="28"/>
    </row>
    <row r="2" spans="1:6" ht="40" customHeight="1" thickBot="1" x14ac:dyDescent="0.25">
      <c r="A2" s="16" t="s">
        <v>129</v>
      </c>
      <c r="B2" s="8" t="s">
        <v>189</v>
      </c>
      <c r="C2" s="14"/>
      <c r="D2" s="14"/>
      <c r="E2" s="14"/>
      <c r="F2" s="20"/>
    </row>
    <row r="3" spans="1:6" ht="40" customHeight="1" x14ac:dyDescent="0.2">
      <c r="A3" s="29"/>
      <c r="B3" s="14"/>
      <c r="C3" s="14"/>
      <c r="D3" s="14"/>
      <c r="E3" s="14"/>
      <c r="F3" s="20"/>
    </row>
    <row r="4" spans="1:6" ht="40" hidden="1" customHeight="1" thickBot="1" x14ac:dyDescent="0.25">
      <c r="A4" s="101" t="s">
        <v>182</v>
      </c>
      <c r="B4" s="167" t="s">
        <v>106</v>
      </c>
      <c r="C4" s="168"/>
      <c r="D4" s="14"/>
      <c r="E4" s="14"/>
      <c r="F4" s="20"/>
    </row>
    <row r="5" spans="1:6" ht="56" hidden="1" customHeight="1" x14ac:dyDescent="0.2">
      <c r="A5" s="118" t="s">
        <v>185</v>
      </c>
      <c r="B5" s="106" t="s">
        <v>189</v>
      </c>
      <c r="C5" s="104"/>
      <c r="D5" s="14"/>
      <c r="E5" s="14"/>
      <c r="F5" s="20"/>
    </row>
    <row r="6" spans="1:6" ht="56" hidden="1" customHeight="1" x14ac:dyDescent="0.2">
      <c r="A6" s="116" t="s">
        <v>107</v>
      </c>
      <c r="B6" s="107">
        <v>0</v>
      </c>
      <c r="C6" s="89" t="s">
        <v>225</v>
      </c>
      <c r="D6" s="14"/>
      <c r="E6" s="14"/>
      <c r="F6" s="20"/>
    </row>
    <row r="7" spans="1:6" ht="56" hidden="1" customHeight="1" x14ac:dyDescent="0.2">
      <c r="A7" s="116" t="s">
        <v>202</v>
      </c>
      <c r="B7" s="108" t="s">
        <v>209</v>
      </c>
      <c r="C7" s="90"/>
      <c r="D7" s="14"/>
      <c r="E7" s="14"/>
      <c r="F7" s="20"/>
    </row>
    <row r="8" spans="1:6" ht="56" hidden="1" customHeight="1" thickBot="1" x14ac:dyDescent="0.25">
      <c r="A8" s="19" t="s">
        <v>203</v>
      </c>
      <c r="B8" s="109" t="s">
        <v>212</v>
      </c>
      <c r="C8" s="105"/>
      <c r="D8" s="14"/>
      <c r="E8" s="14"/>
      <c r="F8" s="20"/>
    </row>
    <row r="9" spans="1:6" ht="40" hidden="1" customHeight="1" thickBot="1" x14ac:dyDescent="0.25">
      <c r="A9" s="21"/>
      <c r="B9" s="102"/>
      <c r="C9" s="103"/>
      <c r="D9" s="14"/>
      <c r="E9" s="14"/>
      <c r="F9" s="20"/>
    </row>
    <row r="10" spans="1:6" ht="40" hidden="1" customHeight="1" thickBot="1" x14ac:dyDescent="0.25">
      <c r="A10" s="16" t="s">
        <v>183</v>
      </c>
      <c r="B10" s="172" t="s">
        <v>50</v>
      </c>
      <c r="C10" s="173"/>
      <c r="D10" s="14"/>
      <c r="E10" s="14"/>
      <c r="F10" s="20"/>
    </row>
    <row r="11" spans="1:6" ht="56" hidden="1" customHeight="1" x14ac:dyDescent="0.2">
      <c r="A11" s="119" t="s">
        <v>103</v>
      </c>
      <c r="B11" s="110" t="s">
        <v>189</v>
      </c>
      <c r="C11" s="104"/>
      <c r="D11" s="124"/>
      <c r="E11" s="125"/>
      <c r="F11" s="126"/>
    </row>
    <row r="12" spans="1:6" ht="56" hidden="1" customHeight="1" x14ac:dyDescent="0.2">
      <c r="A12" s="116" t="s">
        <v>193</v>
      </c>
      <c r="B12" s="111">
        <v>0</v>
      </c>
      <c r="C12" s="112" t="s">
        <v>226</v>
      </c>
      <c r="D12" s="14"/>
      <c r="E12" s="14"/>
      <c r="F12" s="20"/>
    </row>
    <row r="13" spans="1:6" ht="56" hidden="1" customHeight="1" x14ac:dyDescent="0.2">
      <c r="A13" s="116" t="s">
        <v>184</v>
      </c>
      <c r="B13" s="111">
        <v>0</v>
      </c>
      <c r="C13" s="113" t="s">
        <v>226</v>
      </c>
      <c r="D13" s="14"/>
      <c r="E13" s="14"/>
      <c r="F13" s="20"/>
    </row>
    <row r="14" spans="1:6" ht="56" hidden="1" customHeight="1" x14ac:dyDescent="0.2">
      <c r="A14" s="117" t="s">
        <v>201</v>
      </c>
      <c r="B14" s="114" t="s">
        <v>209</v>
      </c>
      <c r="C14" s="90"/>
      <c r="D14" s="14"/>
      <c r="E14" s="14"/>
      <c r="F14" s="20"/>
    </row>
    <row r="15" spans="1:6" ht="56" hidden="1" customHeight="1" thickBot="1" x14ac:dyDescent="0.25">
      <c r="A15" s="116" t="s">
        <v>115</v>
      </c>
      <c r="B15" s="115" t="s">
        <v>212</v>
      </c>
      <c r="C15" s="105"/>
      <c r="D15" s="14"/>
      <c r="E15" s="14"/>
      <c r="F15" s="20"/>
    </row>
    <row r="16" spans="1:6" ht="40" hidden="1" customHeight="1" thickBot="1" x14ac:dyDescent="0.25">
      <c r="A16" s="21"/>
      <c r="B16" s="15"/>
      <c r="C16" s="15"/>
      <c r="D16" s="14"/>
      <c r="E16" s="14"/>
      <c r="F16" s="20"/>
    </row>
    <row r="17" spans="1:6" ht="40" hidden="1" customHeight="1" thickBot="1" x14ac:dyDescent="0.25">
      <c r="A17" s="22" t="s">
        <v>104</v>
      </c>
      <c r="B17" s="23" t="s">
        <v>50</v>
      </c>
      <c r="C17" s="24" t="s">
        <v>72</v>
      </c>
      <c r="D17" s="25" t="s">
        <v>86</v>
      </c>
      <c r="E17" s="14"/>
      <c r="F17" s="20"/>
    </row>
    <row r="18" spans="1:6" ht="56" hidden="1" customHeight="1" x14ac:dyDescent="0.2">
      <c r="A18" s="119" t="s">
        <v>207</v>
      </c>
      <c r="B18" s="120" t="s">
        <v>41</v>
      </c>
      <c r="C18" s="121" t="s">
        <v>209</v>
      </c>
      <c r="D18" s="122" t="s">
        <v>212</v>
      </c>
      <c r="E18" s="124"/>
      <c r="F18" s="126"/>
    </row>
    <row r="19" spans="1:6" ht="56" hidden="1" customHeight="1" x14ac:dyDescent="0.2">
      <c r="A19" s="117" t="s">
        <v>204</v>
      </c>
      <c r="B19" s="9" t="s">
        <v>14</v>
      </c>
      <c r="C19" s="33" t="s">
        <v>209</v>
      </c>
      <c r="D19" s="12" t="s">
        <v>212</v>
      </c>
      <c r="E19" s="14"/>
      <c r="F19" s="20"/>
    </row>
    <row r="20" spans="1:6" ht="56" hidden="1" customHeight="1" x14ac:dyDescent="0.2">
      <c r="A20" s="117" t="s">
        <v>205</v>
      </c>
      <c r="B20" s="9" t="s">
        <v>157</v>
      </c>
      <c r="C20" s="33" t="s">
        <v>209</v>
      </c>
      <c r="D20" s="12" t="s">
        <v>211</v>
      </c>
      <c r="E20" s="14"/>
      <c r="F20" s="20"/>
    </row>
    <row r="21" spans="1:6" ht="62" hidden="1" customHeight="1" x14ac:dyDescent="0.2">
      <c r="A21" s="117" t="s">
        <v>206</v>
      </c>
      <c r="B21" s="10" t="s">
        <v>26</v>
      </c>
      <c r="C21" s="33" t="s">
        <v>200</v>
      </c>
      <c r="D21" s="12" t="s">
        <v>211</v>
      </c>
      <c r="E21" s="14"/>
      <c r="F21" s="20"/>
    </row>
    <row r="22" spans="1:6" ht="56" hidden="1" customHeight="1" thickBot="1" x14ac:dyDescent="0.25">
      <c r="A22" s="123" t="s">
        <v>208</v>
      </c>
      <c r="B22" s="11" t="s">
        <v>31</v>
      </c>
      <c r="C22" s="34" t="s">
        <v>200</v>
      </c>
      <c r="D22" s="13" t="s">
        <v>212</v>
      </c>
      <c r="E22" s="14"/>
      <c r="F22" s="20"/>
    </row>
    <row r="23" spans="1:6" ht="20" thickBot="1" x14ac:dyDescent="0.25">
      <c r="A23" s="29"/>
      <c r="B23" s="14"/>
      <c r="C23" s="14"/>
      <c r="D23" s="14"/>
      <c r="E23" s="14"/>
      <c r="F23" s="20"/>
    </row>
    <row r="24" spans="1:6" ht="52" customHeight="1" thickBot="1" x14ac:dyDescent="0.25">
      <c r="A24" s="169" t="str">
        <f>IF(OR(COUNTIF(B2:D22,"*please select*"),COUNTIF(B2:D22,"*please enter*")),"Please complete the form to generate your results","Your results are now ready. Please navigate to the Results and Summary pages")</f>
        <v>Please complete the form to generate your results</v>
      </c>
      <c r="B24" s="170"/>
      <c r="C24" s="170"/>
      <c r="D24" s="171"/>
      <c r="E24" s="14"/>
      <c r="F24" s="20"/>
    </row>
    <row r="25" spans="1:6" ht="19" customHeight="1" thickBot="1" x14ac:dyDescent="0.25">
      <c r="A25" s="30"/>
      <c r="B25" s="31"/>
      <c r="C25" s="31"/>
      <c r="D25" s="31"/>
      <c r="E25" s="31"/>
      <c r="F25" s="32"/>
    </row>
    <row r="26" spans="1:6" ht="45" customHeight="1" thickBot="1" x14ac:dyDescent="0.25"/>
    <row r="27" spans="1:6" ht="20" thickBot="1" x14ac:dyDescent="0.25">
      <c r="A27" s="164" t="s">
        <v>131</v>
      </c>
      <c r="B27" s="165"/>
      <c r="C27" s="165"/>
      <c r="D27" s="166"/>
    </row>
    <row r="28" spans="1:6" ht="40" customHeight="1" thickBot="1" x14ac:dyDescent="0.25">
      <c r="A28" s="161" t="s">
        <v>132</v>
      </c>
      <c r="B28" s="162"/>
      <c r="C28" s="162"/>
      <c r="D28" s="163"/>
    </row>
    <row r="29" spans="1:6" ht="62" customHeight="1" thickBot="1" x14ac:dyDescent="0.25">
      <c r="A29" s="161" t="s">
        <v>214</v>
      </c>
      <c r="B29" s="162"/>
      <c r="C29" s="162"/>
      <c r="D29" s="163"/>
    </row>
    <row r="30" spans="1:6" ht="39" customHeight="1" thickBot="1" x14ac:dyDescent="0.25">
      <c r="A30" s="158" t="s">
        <v>190</v>
      </c>
      <c r="B30" s="159"/>
      <c r="C30" s="159"/>
      <c r="D30" s="160"/>
    </row>
    <row r="43" spans="1:11" x14ac:dyDescent="0.2">
      <c r="G43" s="7"/>
      <c r="H43" s="1"/>
      <c r="I43" s="1"/>
      <c r="J43" s="1"/>
      <c r="K43" s="1"/>
    </row>
    <row r="45" spans="1:11" x14ac:dyDescent="0.2">
      <c r="A45" s="6"/>
      <c r="B45" s="6"/>
      <c r="C45" s="7"/>
      <c r="D45" s="1"/>
      <c r="E45" s="1"/>
      <c r="F45" s="1"/>
    </row>
  </sheetData>
  <sortState ref="A30:O43">
    <sortCondition descending="1" ref="B30:B43"/>
  </sortState>
  <dataConsolidate/>
  <mergeCells count="7">
    <mergeCell ref="A30:D30"/>
    <mergeCell ref="A29:D29"/>
    <mergeCell ref="A28:D28"/>
    <mergeCell ref="A27:D27"/>
    <mergeCell ref="B4:C4"/>
    <mergeCell ref="A24:D24"/>
    <mergeCell ref="B10:C10"/>
  </mergeCells>
  <conditionalFormatting sqref="A24:D24">
    <cfRule type="containsText" dxfId="2" priority="1" operator="containsText" text="Your results are now ready. Please navigate to the Results and Summary pages">
      <formula>NOT(ISERROR(SEARCH("Your results are now ready. Please navigate to the Results and Summary pages",A24)))</formula>
    </cfRule>
  </conditionalFormatting>
  <dataValidations count="6">
    <dataValidation type="list" allowBlank="1" showInputMessage="1" showErrorMessage="1" sqref="C6">
      <formula1>"*please select*,£ per hectare,total £"</formula1>
    </dataValidation>
    <dataValidation type="list" allowBlank="1" showInputMessage="1" showErrorMessage="1" sqref="B2">
      <formula1>Scenarios</formula1>
    </dataValidation>
    <dataValidation type="list" errorStyle="warning" allowBlank="1" errorTitle="---please select---" promptTitle="---please select---" sqref="B5">
      <formula1>"*please select*,Yes,Not Yet"</formula1>
    </dataValidation>
    <dataValidation type="list" allowBlank="1" showInputMessage="1" showErrorMessage="1" sqref="C12:C13">
      <formula1>"*please select*,hectares,km2"</formula1>
    </dataValidation>
    <dataValidation type="list" allowBlank="1" showInputMessage="1" showErrorMessage="1" sqref="B7 B14 C18:C22">
      <formula1>Priorities</formula1>
    </dataValidation>
    <dataValidation type="list" allowBlank="1" showInputMessage="1" showErrorMessage="1" sqref="B8 B15 D18:D22">
      <formula1>Flexibility</formula1>
    </dataValidation>
  </dataValidations>
  <pageMargins left="0.7" right="0.7" top="0.75" bottom="0.75" header="0.3" footer="0.3"/>
  <pageSetup paperSize="9" orientation="portrait" horizontalDpi="0" verticalDpi="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INDIRECT('Data Table'!$A$7)</xm:f>
          </x14:formula1>
          <xm:sqref>B18</xm:sqref>
        </x14:dataValidation>
        <x14:dataValidation type="list" allowBlank="1" showInputMessage="1" showErrorMessage="1">
          <x14:formula1>
            <xm:f>INDIRECT('Data Table'!$A$3)</xm:f>
          </x14:formula1>
          <xm:sqref>B19</xm:sqref>
        </x14:dataValidation>
        <x14:dataValidation type="list" allowBlank="1" showInputMessage="1" showErrorMessage="1">
          <x14:formula1>
            <xm:f>INDIRECT('Data Table'!$A$4)</xm:f>
          </x14:formula1>
          <xm:sqref>B20</xm:sqref>
        </x14:dataValidation>
        <x14:dataValidation type="list" allowBlank="1" showInputMessage="1" showErrorMessage="1">
          <x14:formula1>
            <xm:f>INDIRECT('Data Table'!$A$5)</xm:f>
          </x14:formula1>
          <xm:sqref>B21</xm:sqref>
        </x14:dataValidation>
        <x14:dataValidation type="list" allowBlank="1" showInputMessage="1" showErrorMessage="1">
          <x14:formula1>
            <xm:f>INDIRECT('Data Table'!$A$6)</xm:f>
          </x14:formula1>
          <xm:sqref>B22</xm:sqref>
        </x14:dataValidation>
        <x14:dataValidation type="list" allowBlank="1" showInputMessage="1" showErrorMessage="1">
          <x14:formula1>
            <xm:f>'Calculation Table'!$B$68:$B$71</xm:f>
          </x14:formula1>
          <xm:sqref>B11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filterMode="1" enableFormatConditionsCalculation="0"/>
  <dimension ref="A1:Q23"/>
  <sheetViews>
    <sheetView workbookViewId="0">
      <pane xSplit="1" ySplit="1" topLeftCell="B3" activePane="bottomRight" state="frozen"/>
      <selection pane="topRight" activeCell="B1" sqref="B1"/>
      <selection pane="bottomLeft" activeCell="A2" sqref="A2"/>
      <selection pane="bottomRight" activeCell="B32" sqref="B32"/>
    </sheetView>
  </sheetViews>
  <sheetFormatPr baseColWidth="10" defaultColWidth="36.83203125" defaultRowHeight="16" x14ac:dyDescent="0.2"/>
  <cols>
    <col min="1" max="1" width="33.83203125" style="2" customWidth="1"/>
    <col min="2" max="4" width="19.83203125" style="2" customWidth="1"/>
    <col min="5" max="5" width="17.33203125" style="2" bestFit="1" customWidth="1"/>
    <col min="6" max="6" width="15.6640625" style="2" bestFit="1" customWidth="1"/>
    <col min="7" max="8" width="18" style="2" bestFit="1" customWidth="1"/>
    <col min="9" max="9" width="21.6640625" style="2" bestFit="1" customWidth="1"/>
    <col min="10" max="10" width="24" style="2" bestFit="1" customWidth="1"/>
    <col min="11" max="11" width="20.5" style="2" bestFit="1" customWidth="1"/>
    <col min="12" max="12" width="23.1640625" style="2" bestFit="1" customWidth="1"/>
    <col min="13" max="13" width="23" style="2" bestFit="1" customWidth="1"/>
    <col min="14" max="14" width="21.33203125" style="2" bestFit="1" customWidth="1"/>
    <col min="15" max="16" width="21.33203125" style="2" customWidth="1"/>
    <col min="17" max="17" width="14.83203125" style="2" customWidth="1"/>
    <col min="18" max="16384" width="36.83203125" style="2"/>
  </cols>
  <sheetData>
    <row r="1" spans="1:17" ht="56" customHeight="1" x14ac:dyDescent="0.2">
      <c r="A1" s="93" t="s">
        <v>75</v>
      </c>
      <c r="B1" s="93" t="s">
        <v>76</v>
      </c>
      <c r="C1" s="94" t="s">
        <v>117</v>
      </c>
      <c r="D1" s="95" t="s">
        <v>118</v>
      </c>
      <c r="E1" s="96" t="s">
        <v>119</v>
      </c>
      <c r="F1" s="94" t="s">
        <v>120</v>
      </c>
      <c r="G1" s="95" t="s">
        <v>121</v>
      </c>
      <c r="H1" s="95" t="s">
        <v>122</v>
      </c>
      <c r="I1" s="96" t="s">
        <v>123</v>
      </c>
      <c r="J1" s="94" t="s">
        <v>124</v>
      </c>
      <c r="K1" s="94" t="s">
        <v>125</v>
      </c>
      <c r="L1" s="96" t="s">
        <v>126</v>
      </c>
      <c r="M1" s="94" t="s">
        <v>127</v>
      </c>
      <c r="N1" s="96" t="s">
        <v>128</v>
      </c>
      <c r="O1" s="94" t="s">
        <v>167</v>
      </c>
      <c r="P1" s="96" t="s">
        <v>166</v>
      </c>
      <c r="Q1" s="67"/>
    </row>
    <row r="2" spans="1:17" ht="56" hidden="1" customHeight="1" x14ac:dyDescent="0.2">
      <c r="A2" s="17" t="s">
        <v>165</v>
      </c>
      <c r="B2" s="36" t="e">
        <f>'Calculation Table'!B144</f>
        <v>#N/A</v>
      </c>
      <c r="C2" s="40">
        <f>'Calculation Table'!C144</f>
        <v>0</v>
      </c>
      <c r="D2" s="41" t="e">
        <f>'Calculation Table'!D144</f>
        <v>#DIV/0!</v>
      </c>
      <c r="E2" s="43">
        <f>'Calculation Table'!E144</f>
        <v>1</v>
      </c>
      <c r="F2" s="48">
        <f>'Calculation Table'!F144</f>
        <v>1</v>
      </c>
      <c r="G2" s="42">
        <f>'Calculation Table'!G144</f>
        <v>1</v>
      </c>
      <c r="H2" s="42">
        <f>'Calculation Table'!H144</f>
        <v>1</v>
      </c>
      <c r="I2" s="43">
        <f>'Calculation Table'!I144</f>
        <v>0.7</v>
      </c>
      <c r="J2" s="48">
        <f>'Calculation Table'!J144</f>
        <v>0.88000000000000012</v>
      </c>
      <c r="K2" s="48">
        <f>'Calculation Table'!K144</f>
        <v>1</v>
      </c>
      <c r="L2" s="43" t="e">
        <f>'Calculation Table'!L144</f>
        <v>#N/A</v>
      </c>
      <c r="M2" s="48" t="str">
        <f>'Calculation Table'!M144</f>
        <v>NA</v>
      </c>
      <c r="N2" s="43" t="str">
        <f>'Calculation Table'!N144</f>
        <v>NA</v>
      </c>
      <c r="O2" s="48" t="e">
        <f>'Calculation Table'!O144</f>
        <v>#N/A</v>
      </c>
      <c r="P2" s="43" t="e">
        <f>'Calculation Table'!P144</f>
        <v>#N/A</v>
      </c>
      <c r="Q2" s="68"/>
    </row>
    <row r="3" spans="1:17" ht="56" customHeight="1" x14ac:dyDescent="0.2">
      <c r="A3" s="18" t="s">
        <v>51</v>
      </c>
      <c r="B3" s="37" t="e">
        <f>'Calculation Table'!B128</f>
        <v>#N/A</v>
      </c>
      <c r="C3" s="44">
        <f>'Calculation Table'!C128</f>
        <v>0</v>
      </c>
      <c r="D3" s="3" t="e">
        <f>'Calculation Table'!D128</f>
        <v>#DIV/0!</v>
      </c>
      <c r="E3" s="45">
        <f>'Calculation Table'!E128</f>
        <v>1</v>
      </c>
      <c r="F3" s="49">
        <f>'Calculation Table'!F128</f>
        <v>0</v>
      </c>
      <c r="G3" s="4">
        <f>'Calculation Table'!G128</f>
        <v>1</v>
      </c>
      <c r="H3" s="4">
        <f>'Calculation Table'!H128</f>
        <v>1</v>
      </c>
      <c r="I3" s="45">
        <f>'Calculation Table'!I128</f>
        <v>1</v>
      </c>
      <c r="J3" s="49">
        <f>'Calculation Table'!J128</f>
        <v>1</v>
      </c>
      <c r="K3" s="49">
        <f>'Calculation Table'!K128</f>
        <v>1</v>
      </c>
      <c r="L3" s="45" t="e">
        <f>'Calculation Table'!L128</f>
        <v>#N/A</v>
      </c>
      <c r="M3" s="49" t="str">
        <f>'Calculation Table'!M128</f>
        <v>NA</v>
      </c>
      <c r="N3" s="45" t="str">
        <f>'Calculation Table'!N128</f>
        <v>NA</v>
      </c>
      <c r="O3" s="49" t="e">
        <f>'Calculation Table'!O132</f>
        <v>#N/A</v>
      </c>
      <c r="P3" s="45" t="e">
        <f>'Calculation Table'!P132</f>
        <v>#N/A</v>
      </c>
      <c r="Q3" s="68"/>
    </row>
    <row r="4" spans="1:17" ht="56" customHeight="1" x14ac:dyDescent="0.2">
      <c r="A4" s="18" t="s">
        <v>62</v>
      </c>
      <c r="B4" s="37" t="e">
        <f>'Calculation Table'!B145</f>
        <v>#N/A</v>
      </c>
      <c r="C4" s="44">
        <f>'Calculation Table'!C145</f>
        <v>0</v>
      </c>
      <c r="D4" s="3" t="e">
        <f>'Calculation Table'!D145</f>
        <v>#DIV/0!</v>
      </c>
      <c r="E4" s="45">
        <f>'Calculation Table'!E145</f>
        <v>1</v>
      </c>
      <c r="F4" s="49">
        <f>'Calculation Table'!F145</f>
        <v>1</v>
      </c>
      <c r="G4" s="4">
        <f>'Calculation Table'!G145</f>
        <v>1</v>
      </c>
      <c r="H4" s="4">
        <f>'Calculation Table'!H145</f>
        <v>1</v>
      </c>
      <c r="I4" s="45">
        <f>'Calculation Table'!I145</f>
        <v>1</v>
      </c>
      <c r="J4" s="49">
        <f>'Calculation Table'!J145</f>
        <v>0.88000000000000012</v>
      </c>
      <c r="K4" s="49">
        <f>'Calculation Table'!K145</f>
        <v>1</v>
      </c>
      <c r="L4" s="45" t="e">
        <f>'Calculation Table'!L145</f>
        <v>#N/A</v>
      </c>
      <c r="M4" s="49" t="str">
        <f>'Calculation Table'!M145</f>
        <v>NA</v>
      </c>
      <c r="N4" s="45" t="str">
        <f>'Calculation Table'!N145</f>
        <v>NA</v>
      </c>
      <c r="O4" s="49" t="e">
        <f>'Calculation Table'!O145</f>
        <v>#N/A</v>
      </c>
      <c r="P4" s="45" t="e">
        <f>'Calculation Table'!P145</f>
        <v>#N/A</v>
      </c>
      <c r="Q4" s="68"/>
    </row>
    <row r="5" spans="1:17" ht="56" customHeight="1" x14ac:dyDescent="0.2">
      <c r="A5" s="18" t="s">
        <v>53</v>
      </c>
      <c r="B5" s="37" t="e">
        <f>'Calculation Table'!B131</f>
        <v>#N/A</v>
      </c>
      <c r="C5" s="44">
        <f>'Calculation Table'!C131</f>
        <v>0</v>
      </c>
      <c r="D5" s="3" t="e">
        <f>'Calculation Table'!D131</f>
        <v>#DIV/0!</v>
      </c>
      <c r="E5" s="45">
        <f>'Calculation Table'!E131</f>
        <v>1</v>
      </c>
      <c r="F5" s="49">
        <f>'Calculation Table'!F131</f>
        <v>0</v>
      </c>
      <c r="G5" s="4">
        <f>'Calculation Table'!G131</f>
        <v>1</v>
      </c>
      <c r="H5" s="4">
        <f>'Calculation Table'!H131</f>
        <v>1</v>
      </c>
      <c r="I5" s="45">
        <f>'Calculation Table'!I131</f>
        <v>1</v>
      </c>
      <c r="J5" s="49">
        <f>'Calculation Table'!J131</f>
        <v>1</v>
      </c>
      <c r="K5" s="49">
        <f>'Calculation Table'!K131</f>
        <v>1</v>
      </c>
      <c r="L5" s="45" t="e">
        <f>'Calculation Table'!L131</f>
        <v>#N/A</v>
      </c>
      <c r="M5" s="49" t="str">
        <f>'Calculation Table'!M131</f>
        <v>NA</v>
      </c>
      <c r="N5" s="45" t="str">
        <f>'Calculation Table'!N131</f>
        <v>NA</v>
      </c>
      <c r="O5" s="49" t="e">
        <f>'Calculation Table'!O128</f>
        <v>#N/A</v>
      </c>
      <c r="P5" s="45" t="e">
        <f>'Calculation Table'!P128</f>
        <v>#N/A</v>
      </c>
      <c r="Q5" s="68"/>
    </row>
    <row r="6" spans="1:17" ht="56" customHeight="1" x14ac:dyDescent="0.2">
      <c r="A6" s="18" t="s">
        <v>54</v>
      </c>
      <c r="B6" s="37" t="e">
        <f>'Calculation Table'!B134</f>
        <v>#N/A</v>
      </c>
      <c r="C6" s="44">
        <f>'Calculation Table'!C134</f>
        <v>0</v>
      </c>
      <c r="D6" s="3" t="e">
        <f>'Calculation Table'!D134</f>
        <v>#DIV/0!</v>
      </c>
      <c r="E6" s="45">
        <f>'Calculation Table'!E134</f>
        <v>1</v>
      </c>
      <c r="F6" s="49">
        <f>'Calculation Table'!F134</f>
        <v>0</v>
      </c>
      <c r="G6" s="4">
        <f>'Calculation Table'!G134</f>
        <v>1</v>
      </c>
      <c r="H6" s="4">
        <f>'Calculation Table'!H134</f>
        <v>1</v>
      </c>
      <c r="I6" s="45">
        <f>'Calculation Table'!I134</f>
        <v>1</v>
      </c>
      <c r="J6" s="49">
        <f>'Calculation Table'!J134</f>
        <v>1</v>
      </c>
      <c r="K6" s="49">
        <f>'Calculation Table'!K134</f>
        <v>1</v>
      </c>
      <c r="L6" s="45" t="e">
        <f>'Calculation Table'!L134</f>
        <v>#N/A</v>
      </c>
      <c r="M6" s="49" t="str">
        <f>'Calculation Table'!M134</f>
        <v>NA</v>
      </c>
      <c r="N6" s="45" t="str">
        <f>'Calculation Table'!N134</f>
        <v>NA</v>
      </c>
      <c r="O6" s="49" t="e">
        <f>'Calculation Table'!O134</f>
        <v>#N/A</v>
      </c>
      <c r="P6" s="45" t="e">
        <f>'Calculation Table'!P134</f>
        <v>#N/A</v>
      </c>
      <c r="Q6" s="68"/>
    </row>
    <row r="7" spans="1:17" ht="56" customHeight="1" x14ac:dyDescent="0.2">
      <c r="A7" s="18" t="s">
        <v>55</v>
      </c>
      <c r="B7" s="37" t="e">
        <f>'Calculation Table'!B132</f>
        <v>#N/A</v>
      </c>
      <c r="C7" s="44">
        <f>'Calculation Table'!C132</f>
        <v>0</v>
      </c>
      <c r="D7" s="3" t="e">
        <f>'Calculation Table'!D132</f>
        <v>#DIV/0!</v>
      </c>
      <c r="E7" s="45">
        <f>'Calculation Table'!E132</f>
        <v>1</v>
      </c>
      <c r="F7" s="49">
        <f>'Calculation Table'!F132</f>
        <v>0</v>
      </c>
      <c r="G7" s="4">
        <f>'Calculation Table'!G132</f>
        <v>1</v>
      </c>
      <c r="H7" s="4">
        <f>'Calculation Table'!H132</f>
        <v>1</v>
      </c>
      <c r="I7" s="45">
        <f>'Calculation Table'!I132</f>
        <v>1</v>
      </c>
      <c r="J7" s="49">
        <f>'Calculation Table'!J132</f>
        <v>1</v>
      </c>
      <c r="K7" s="49">
        <f>'Calculation Table'!K132</f>
        <v>1</v>
      </c>
      <c r="L7" s="45" t="e">
        <f>'Calculation Table'!L132</f>
        <v>#N/A</v>
      </c>
      <c r="M7" s="49" t="str">
        <f>'Calculation Table'!M132</f>
        <v>NA</v>
      </c>
      <c r="N7" s="45" t="str">
        <f>'Calculation Table'!N132</f>
        <v>NA</v>
      </c>
      <c r="O7" s="49" t="e">
        <f>'Calculation Table'!O129</f>
        <v>#N/A</v>
      </c>
      <c r="P7" s="45" t="e">
        <f>'Calculation Table'!P129</f>
        <v>#N/A</v>
      </c>
      <c r="Q7" s="68"/>
    </row>
    <row r="8" spans="1:17" ht="56" hidden="1" customHeight="1" x14ac:dyDescent="0.2">
      <c r="A8" s="18" t="s">
        <v>57</v>
      </c>
      <c r="B8" s="37" t="e">
        <f>'Calculation Table'!B137</f>
        <v>#N/A</v>
      </c>
      <c r="C8" s="44">
        <f>'Calculation Table'!C137</f>
        <v>150000</v>
      </c>
      <c r="D8" s="3" t="e">
        <f>'Calculation Table'!D137</f>
        <v>#DIV/0!</v>
      </c>
      <c r="E8" s="45">
        <f>'Calculation Table'!E137</f>
        <v>0</v>
      </c>
      <c r="F8" s="49">
        <f>'Calculation Table'!F137</f>
        <v>0</v>
      </c>
      <c r="G8" s="4">
        <f>'Calculation Table'!G137</f>
        <v>1</v>
      </c>
      <c r="H8" s="4">
        <f>'Calculation Table'!H137</f>
        <v>1</v>
      </c>
      <c r="I8" s="45">
        <f>'Calculation Table'!I137</f>
        <v>1</v>
      </c>
      <c r="J8" s="49">
        <f>'Calculation Table'!J137</f>
        <v>1</v>
      </c>
      <c r="K8" s="49">
        <f>'Calculation Table'!K137</f>
        <v>1</v>
      </c>
      <c r="L8" s="45" t="e">
        <f>'Calculation Table'!L137</f>
        <v>#N/A</v>
      </c>
      <c r="M8" s="49" t="str">
        <f>'Calculation Table'!M137</f>
        <v>NA</v>
      </c>
      <c r="N8" s="45" t="str">
        <f>'Calculation Table'!N137</f>
        <v>NA</v>
      </c>
      <c r="O8" s="49" t="e">
        <f>'Calculation Table'!O135</f>
        <v>#N/A</v>
      </c>
      <c r="P8" s="45" t="e">
        <f>'Calculation Table'!P135</f>
        <v>#N/A</v>
      </c>
      <c r="Q8" s="68"/>
    </row>
    <row r="9" spans="1:17" ht="56" hidden="1" customHeight="1" x14ac:dyDescent="0.2">
      <c r="A9" s="18" t="s">
        <v>56</v>
      </c>
      <c r="B9" s="37" t="e">
        <f>'Calculation Table'!B135</f>
        <v>#N/A</v>
      </c>
      <c r="C9" s="44">
        <f>'Calculation Table'!C135</f>
        <v>150000</v>
      </c>
      <c r="D9" s="3" t="e">
        <f>'Calculation Table'!D135</f>
        <v>#DIV/0!</v>
      </c>
      <c r="E9" s="45">
        <f>'Calculation Table'!E135</f>
        <v>0</v>
      </c>
      <c r="F9" s="49">
        <f>'Calculation Table'!F135</f>
        <v>0</v>
      </c>
      <c r="G9" s="4">
        <f>'Calculation Table'!G135</f>
        <v>1</v>
      </c>
      <c r="H9" s="4">
        <f>'Calculation Table'!H135</f>
        <v>1</v>
      </c>
      <c r="I9" s="45">
        <f>'Calculation Table'!I135</f>
        <v>1</v>
      </c>
      <c r="J9" s="49">
        <f>'Calculation Table'!J135</f>
        <v>0.88000000000000012</v>
      </c>
      <c r="K9" s="49">
        <f>'Calculation Table'!K135</f>
        <v>1</v>
      </c>
      <c r="L9" s="45" t="e">
        <f>'Calculation Table'!L135</f>
        <v>#N/A</v>
      </c>
      <c r="M9" s="49" t="str">
        <f>'Calculation Table'!M135</f>
        <v>NA</v>
      </c>
      <c r="N9" s="45" t="str">
        <f>'Calculation Table'!N135</f>
        <v>NA</v>
      </c>
      <c r="O9" s="49" t="e">
        <f>'Calculation Table'!O140</f>
        <v>#N/A</v>
      </c>
      <c r="P9" s="45" t="e">
        <f>'Calculation Table'!P140</f>
        <v>#N/A</v>
      </c>
      <c r="Q9" s="68"/>
    </row>
    <row r="10" spans="1:17" ht="56" hidden="1" customHeight="1" x14ac:dyDescent="0.2">
      <c r="A10" s="18" t="s">
        <v>59</v>
      </c>
      <c r="B10" s="37" t="e">
        <f>'Calculation Table'!B140</f>
        <v>#N/A</v>
      </c>
      <c r="C10" s="44">
        <f>'Calculation Table'!C140</f>
        <v>150000</v>
      </c>
      <c r="D10" s="3" t="e">
        <f>'Calculation Table'!D140</f>
        <v>#DIV/0!</v>
      </c>
      <c r="E10" s="45">
        <f>'Calculation Table'!E140</f>
        <v>0</v>
      </c>
      <c r="F10" s="49">
        <f>'Calculation Table'!F140</f>
        <v>0</v>
      </c>
      <c r="G10" s="4">
        <f>'Calculation Table'!G140</f>
        <v>0.5</v>
      </c>
      <c r="H10" s="4">
        <f>'Calculation Table'!H140</f>
        <v>1</v>
      </c>
      <c r="I10" s="45">
        <f>'Calculation Table'!I140</f>
        <v>1</v>
      </c>
      <c r="J10" s="49">
        <f>'Calculation Table'!J140</f>
        <v>1</v>
      </c>
      <c r="K10" s="49">
        <f>'Calculation Table'!K140</f>
        <v>1</v>
      </c>
      <c r="L10" s="45" t="e">
        <f>'Calculation Table'!L140</f>
        <v>#N/A</v>
      </c>
      <c r="M10" s="49" t="str">
        <f>'Calculation Table'!M140</f>
        <v>NA</v>
      </c>
      <c r="N10" s="45" t="str">
        <f>'Calculation Table'!N140</f>
        <v>NA</v>
      </c>
      <c r="O10" s="49" t="e">
        <f>'Calculation Table'!O131</f>
        <v>#N/A</v>
      </c>
      <c r="P10" s="45" t="e">
        <f>'Calculation Table'!P131</f>
        <v>#N/A</v>
      </c>
      <c r="Q10" s="68"/>
    </row>
    <row r="11" spans="1:17" ht="56" hidden="1" customHeight="1" x14ac:dyDescent="0.2">
      <c r="A11" s="18" t="s">
        <v>58</v>
      </c>
      <c r="B11" s="37" t="e">
        <f>'Calculation Table'!B138</f>
        <v>#N/A</v>
      </c>
      <c r="C11" s="44">
        <f>'Calculation Table'!C138</f>
        <v>150000</v>
      </c>
      <c r="D11" s="3" t="e">
        <f>'Calculation Table'!D138</f>
        <v>#DIV/0!</v>
      </c>
      <c r="E11" s="45">
        <f>'Calculation Table'!E138</f>
        <v>0</v>
      </c>
      <c r="F11" s="49">
        <f>'Calculation Table'!F138</f>
        <v>0</v>
      </c>
      <c r="G11" s="4">
        <f>'Calculation Table'!G138</f>
        <v>0.5</v>
      </c>
      <c r="H11" s="4">
        <f>'Calculation Table'!H138</f>
        <v>1</v>
      </c>
      <c r="I11" s="45">
        <f>'Calculation Table'!I138</f>
        <v>1</v>
      </c>
      <c r="J11" s="49">
        <f>'Calculation Table'!J138</f>
        <v>0.88000000000000012</v>
      </c>
      <c r="K11" s="49">
        <f>'Calculation Table'!K138</f>
        <v>1</v>
      </c>
      <c r="L11" s="45" t="e">
        <f>'Calculation Table'!L138</f>
        <v>#N/A</v>
      </c>
      <c r="M11" s="49" t="str">
        <f>'Calculation Table'!M138</f>
        <v>NA</v>
      </c>
      <c r="N11" s="45" t="str">
        <f>'Calculation Table'!N138</f>
        <v>NA</v>
      </c>
      <c r="O11" s="49" t="e">
        <f>'Calculation Table'!O137</f>
        <v>#N/A</v>
      </c>
      <c r="P11" s="45" t="e">
        <f>'Calculation Table'!P137</f>
        <v>#N/A</v>
      </c>
      <c r="Q11" s="68"/>
    </row>
    <row r="12" spans="1:17" ht="56" hidden="1" customHeight="1" x14ac:dyDescent="0.2">
      <c r="A12" s="18" t="s">
        <v>60</v>
      </c>
      <c r="B12" s="37" t="e">
        <f>'Calculation Table'!B141</f>
        <v>#N/A</v>
      </c>
      <c r="C12" s="44">
        <f>'Calculation Table'!C141</f>
        <v>150000</v>
      </c>
      <c r="D12" s="3" t="e">
        <f>'Calculation Table'!D141</f>
        <v>#DIV/0!</v>
      </c>
      <c r="E12" s="45">
        <f>'Calculation Table'!E141</f>
        <v>0</v>
      </c>
      <c r="F12" s="49">
        <f>'Calculation Table'!F141</f>
        <v>0</v>
      </c>
      <c r="G12" s="4">
        <f>'Calculation Table'!G141</f>
        <v>0.5</v>
      </c>
      <c r="H12" s="4">
        <f>'Calculation Table'!H141</f>
        <v>1</v>
      </c>
      <c r="I12" s="45">
        <f>'Calculation Table'!I141</f>
        <v>1</v>
      </c>
      <c r="J12" s="49">
        <f>'Calculation Table'!J141</f>
        <v>0.88000000000000012</v>
      </c>
      <c r="K12" s="49">
        <f>'Calculation Table'!K141</f>
        <v>1</v>
      </c>
      <c r="L12" s="45" t="e">
        <f>'Calculation Table'!L141</f>
        <v>#N/A</v>
      </c>
      <c r="M12" s="49" t="str">
        <f>'Calculation Table'!M141</f>
        <v>NA</v>
      </c>
      <c r="N12" s="45" t="str">
        <f>'Calculation Table'!N141</f>
        <v>NA</v>
      </c>
      <c r="O12" s="49" t="e">
        <f>'Calculation Table'!O141</f>
        <v>#N/A</v>
      </c>
      <c r="P12" s="45" t="e">
        <f>'Calculation Table'!P141</f>
        <v>#N/A</v>
      </c>
      <c r="Q12" s="68"/>
    </row>
    <row r="13" spans="1:17" ht="56" hidden="1" customHeight="1" x14ac:dyDescent="0.2">
      <c r="A13" s="18" t="s">
        <v>162</v>
      </c>
      <c r="B13" s="37" t="e">
        <f>'Calculation Table'!B133</f>
        <v>#N/A</v>
      </c>
      <c r="C13" s="44">
        <f>'Calculation Table'!C133</f>
        <v>0</v>
      </c>
      <c r="D13" s="3" t="e">
        <f>'Calculation Table'!D133</f>
        <v>#DIV/0!</v>
      </c>
      <c r="E13" s="45">
        <f>'Calculation Table'!E133</f>
        <v>1</v>
      </c>
      <c r="F13" s="49">
        <f>'Calculation Table'!F133</f>
        <v>0</v>
      </c>
      <c r="G13" s="4">
        <f>'Calculation Table'!G133</f>
        <v>1</v>
      </c>
      <c r="H13" s="4">
        <f>'Calculation Table'!H133</f>
        <v>1</v>
      </c>
      <c r="I13" s="45">
        <f>'Calculation Table'!I133</f>
        <v>1</v>
      </c>
      <c r="J13" s="49">
        <f>'Calculation Table'!J133</f>
        <v>1</v>
      </c>
      <c r="K13" s="49">
        <f>'Calculation Table'!K133</f>
        <v>1</v>
      </c>
      <c r="L13" s="45" t="e">
        <f>'Calculation Table'!L133</f>
        <v>#N/A</v>
      </c>
      <c r="M13" s="49" t="str">
        <f>'Calculation Table'!M133</f>
        <v>NA</v>
      </c>
      <c r="N13" s="45" t="str">
        <f>'Calculation Table'!N133</f>
        <v>NA</v>
      </c>
      <c r="O13" s="49" t="e">
        <f>'Calculation Table'!O133</f>
        <v>#N/A</v>
      </c>
      <c r="P13" s="45" t="e">
        <f>'Calculation Table'!P133</f>
        <v>#N/A</v>
      </c>
      <c r="Q13" s="68"/>
    </row>
    <row r="14" spans="1:17" ht="56" hidden="1" customHeight="1" x14ac:dyDescent="0.2">
      <c r="A14" s="18" t="s">
        <v>161</v>
      </c>
      <c r="B14" s="37" t="e">
        <f>'Calculation Table'!B130</f>
        <v>#N/A</v>
      </c>
      <c r="C14" s="44">
        <f>'Calculation Table'!C130</f>
        <v>0</v>
      </c>
      <c r="D14" s="3" t="e">
        <f>'Calculation Table'!D130</f>
        <v>#DIV/0!</v>
      </c>
      <c r="E14" s="45">
        <f>'Calculation Table'!E130</f>
        <v>1</v>
      </c>
      <c r="F14" s="49">
        <f>'Calculation Table'!F130</f>
        <v>0</v>
      </c>
      <c r="G14" s="4">
        <f>'Calculation Table'!G130</f>
        <v>1</v>
      </c>
      <c r="H14" s="4">
        <f>'Calculation Table'!H130</f>
        <v>1</v>
      </c>
      <c r="I14" s="45">
        <f>'Calculation Table'!I130</f>
        <v>1</v>
      </c>
      <c r="J14" s="49">
        <f>'Calculation Table'!J130</f>
        <v>1</v>
      </c>
      <c r="K14" s="49">
        <f>'Calculation Table'!K130</f>
        <v>1</v>
      </c>
      <c r="L14" s="45" t="e">
        <f>'Calculation Table'!L130</f>
        <v>#N/A</v>
      </c>
      <c r="M14" s="49" t="str">
        <f>'Calculation Table'!M130</f>
        <v>NA</v>
      </c>
      <c r="N14" s="45" t="str">
        <f>'Calculation Table'!N130</f>
        <v>NA</v>
      </c>
      <c r="O14" s="49" t="e">
        <f>'Calculation Table'!O136</f>
        <v>#N/A</v>
      </c>
      <c r="P14" s="45" t="e">
        <f>'Calculation Table'!P136</f>
        <v>#N/A</v>
      </c>
      <c r="Q14" s="68"/>
    </row>
    <row r="15" spans="1:17" ht="56" hidden="1" customHeight="1" x14ac:dyDescent="0.2">
      <c r="A15" s="18" t="s">
        <v>219</v>
      </c>
      <c r="B15" s="37" t="e">
        <f>'Calculation Table'!B142</f>
        <v>#N/A</v>
      </c>
      <c r="C15" s="44">
        <f>'Calculation Table'!C142</f>
        <v>0</v>
      </c>
      <c r="D15" s="3" t="e">
        <f>'Calculation Table'!D142</f>
        <v>#DIV/0!</v>
      </c>
      <c r="E15" s="45">
        <f>'Calculation Table'!E142</f>
        <v>1</v>
      </c>
      <c r="F15" s="49">
        <f>'Calculation Table'!F142</f>
        <v>1</v>
      </c>
      <c r="G15" s="4">
        <f>'Calculation Table'!G142</f>
        <v>1</v>
      </c>
      <c r="H15" s="4">
        <f>'Calculation Table'!H142</f>
        <v>1</v>
      </c>
      <c r="I15" s="45">
        <f>'Calculation Table'!I142</f>
        <v>1</v>
      </c>
      <c r="J15" s="49">
        <f>'Calculation Table'!J142</f>
        <v>0.88000000000000012</v>
      </c>
      <c r="K15" s="49">
        <f>'Calculation Table'!K142</f>
        <v>1</v>
      </c>
      <c r="L15" s="45" t="e">
        <f>'Calculation Table'!L142</f>
        <v>#N/A</v>
      </c>
      <c r="M15" s="49" t="str">
        <f>'Calculation Table'!M142</f>
        <v>NA</v>
      </c>
      <c r="N15" s="45" t="str">
        <f>'Calculation Table'!N142</f>
        <v>NA</v>
      </c>
      <c r="O15" s="49" t="e">
        <f>'Calculation Table'!O142</f>
        <v>#N/A</v>
      </c>
      <c r="P15" s="45" t="e">
        <f>'Calculation Table'!P142</f>
        <v>#N/A</v>
      </c>
      <c r="Q15" s="68"/>
    </row>
    <row r="16" spans="1:17" ht="56" customHeight="1" x14ac:dyDescent="0.2">
      <c r="A16" s="18" t="s">
        <v>52</v>
      </c>
      <c r="B16" s="37" t="e">
        <f>'Calculation Table'!B129</f>
        <v>#N/A</v>
      </c>
      <c r="C16" s="44">
        <f>'Calculation Table'!C129</f>
        <v>0</v>
      </c>
      <c r="D16" s="3" t="e">
        <f>'Calculation Table'!D129</f>
        <v>#DIV/0!</v>
      </c>
      <c r="E16" s="45">
        <f>'Calculation Table'!E129</f>
        <v>1</v>
      </c>
      <c r="F16" s="49">
        <f>'Calculation Table'!F129</f>
        <v>0</v>
      </c>
      <c r="G16" s="4">
        <f>'Calculation Table'!G129</f>
        <v>1</v>
      </c>
      <c r="H16" s="4">
        <f>'Calculation Table'!H129</f>
        <v>1</v>
      </c>
      <c r="I16" s="45">
        <f>'Calculation Table'!I129</f>
        <v>1</v>
      </c>
      <c r="J16" s="49">
        <f>'Calculation Table'!J129</f>
        <v>1</v>
      </c>
      <c r="K16" s="49">
        <f>'Calculation Table'!K129</f>
        <v>1</v>
      </c>
      <c r="L16" s="45" t="e">
        <f>'Calculation Table'!L129</f>
        <v>#N/A</v>
      </c>
      <c r="M16" s="49" t="str">
        <f>'Calculation Table'!M129</f>
        <v>NA</v>
      </c>
      <c r="N16" s="45" t="str">
        <f>'Calculation Table'!N129</f>
        <v>NA</v>
      </c>
      <c r="O16" s="49" t="e">
        <f>'Calculation Table'!O138</f>
        <v>#N/A</v>
      </c>
      <c r="P16" s="45" t="e">
        <f>'Calculation Table'!P138</f>
        <v>#N/A</v>
      </c>
      <c r="Q16" s="68"/>
    </row>
    <row r="17" spans="1:17" ht="56" hidden="1" customHeight="1" x14ac:dyDescent="0.2">
      <c r="A17" s="18" t="s">
        <v>163</v>
      </c>
      <c r="B17" s="37" t="e">
        <f>'Calculation Table'!B136</f>
        <v>#N/A</v>
      </c>
      <c r="C17" s="44">
        <f>'Calculation Table'!C136</f>
        <v>150000</v>
      </c>
      <c r="D17" s="3" t="e">
        <f>'Calculation Table'!D136</f>
        <v>#DIV/0!</v>
      </c>
      <c r="E17" s="45">
        <f>'Calculation Table'!E136</f>
        <v>0</v>
      </c>
      <c r="F17" s="49">
        <f>'Calculation Table'!F136</f>
        <v>0</v>
      </c>
      <c r="G17" s="4">
        <f>'Calculation Table'!G136</f>
        <v>1</v>
      </c>
      <c r="H17" s="4">
        <f>'Calculation Table'!H136</f>
        <v>1</v>
      </c>
      <c r="I17" s="45">
        <f>'Calculation Table'!I136</f>
        <v>1</v>
      </c>
      <c r="J17" s="49">
        <f>'Calculation Table'!J136</f>
        <v>0.88000000000000012</v>
      </c>
      <c r="K17" s="49">
        <f>'Calculation Table'!K136</f>
        <v>1</v>
      </c>
      <c r="L17" s="45" t="e">
        <f>'Calculation Table'!L136</f>
        <v>#N/A</v>
      </c>
      <c r="M17" s="49" t="str">
        <f>'Calculation Table'!M136</f>
        <v>NA</v>
      </c>
      <c r="N17" s="45" t="str">
        <f>'Calculation Table'!N136</f>
        <v>NA</v>
      </c>
      <c r="O17" s="49" t="e">
        <f>'Calculation Table'!O130</f>
        <v>#N/A</v>
      </c>
      <c r="P17" s="45" t="e">
        <f>'Calculation Table'!P130</f>
        <v>#N/A</v>
      </c>
      <c r="Q17" s="68"/>
    </row>
    <row r="18" spans="1:17" ht="56" hidden="1" customHeight="1" x14ac:dyDescent="0.2">
      <c r="A18" s="18" t="s">
        <v>61</v>
      </c>
      <c r="B18" s="37" t="e">
        <f>'Calculation Table'!B143</f>
        <v>#N/A</v>
      </c>
      <c r="C18" s="44">
        <f>'Calculation Table'!C143</f>
        <v>0</v>
      </c>
      <c r="D18" s="3" t="e">
        <f>'Calculation Table'!D143</f>
        <v>#DIV/0!</v>
      </c>
      <c r="E18" s="45">
        <f>'Calculation Table'!E143</f>
        <v>1</v>
      </c>
      <c r="F18" s="49">
        <f>'Calculation Table'!F143</f>
        <v>1</v>
      </c>
      <c r="G18" s="4">
        <f>'Calculation Table'!G143</f>
        <v>1</v>
      </c>
      <c r="H18" s="4">
        <f>'Calculation Table'!H143</f>
        <v>1</v>
      </c>
      <c r="I18" s="45">
        <f>'Calculation Table'!I143</f>
        <v>0.7</v>
      </c>
      <c r="J18" s="49">
        <f>'Calculation Table'!J143</f>
        <v>0.88000000000000012</v>
      </c>
      <c r="K18" s="49">
        <f>'Calculation Table'!K143</f>
        <v>1</v>
      </c>
      <c r="L18" s="45" t="e">
        <f>'Calculation Table'!L143</f>
        <v>#N/A</v>
      </c>
      <c r="M18" s="49" t="str">
        <f>'Calculation Table'!M143</f>
        <v>NA</v>
      </c>
      <c r="N18" s="45" t="str">
        <f>'Calculation Table'!N143</f>
        <v>NA</v>
      </c>
      <c r="O18" s="49" t="e">
        <f>'Calculation Table'!#REF!</f>
        <v>#REF!</v>
      </c>
      <c r="P18" s="45" t="e">
        <f>'Calculation Table'!#REF!</f>
        <v>#REF!</v>
      </c>
      <c r="Q18" s="68"/>
    </row>
    <row r="19" spans="1:17" ht="56" hidden="1" customHeight="1" thickBot="1" x14ac:dyDescent="0.25">
      <c r="A19" s="19" t="s">
        <v>164</v>
      </c>
      <c r="B19" s="97" t="e">
        <f>'Calculation Table'!B139</f>
        <v>#N/A</v>
      </c>
      <c r="C19" s="46">
        <f>'Calculation Table'!C139</f>
        <v>150000</v>
      </c>
      <c r="D19" s="47" t="e">
        <f>'Calculation Table'!D139</f>
        <v>#DIV/0!</v>
      </c>
      <c r="E19" s="98">
        <f>'Calculation Table'!E139</f>
        <v>0</v>
      </c>
      <c r="F19" s="99">
        <f>'Calculation Table'!F139</f>
        <v>0</v>
      </c>
      <c r="G19" s="100">
        <f>'Calculation Table'!G139</f>
        <v>0.5</v>
      </c>
      <c r="H19" s="100">
        <f>'Calculation Table'!H139</f>
        <v>1</v>
      </c>
      <c r="I19" s="98">
        <f>'Calculation Table'!I139</f>
        <v>1</v>
      </c>
      <c r="J19" s="99">
        <f>'Calculation Table'!J139</f>
        <v>0.88000000000000012</v>
      </c>
      <c r="K19" s="99">
        <f>'Calculation Table'!K139</f>
        <v>1</v>
      </c>
      <c r="L19" s="98" t="e">
        <f>'Calculation Table'!L139</f>
        <v>#N/A</v>
      </c>
      <c r="M19" s="99" t="str">
        <f>'Calculation Table'!M139</f>
        <v>NA</v>
      </c>
      <c r="N19" s="98" t="str">
        <f>'Calculation Table'!N139</f>
        <v>NA</v>
      </c>
      <c r="O19" s="99" t="e">
        <f>'Calculation Table'!O139</f>
        <v>#N/A</v>
      </c>
      <c r="P19" s="98" t="e">
        <f>'Calculation Table'!P139</f>
        <v>#N/A</v>
      </c>
      <c r="Q19" s="68"/>
    </row>
    <row r="20" spans="1:17" x14ac:dyDescent="0.2">
      <c r="A20" s="66"/>
      <c r="B20" s="50"/>
      <c r="C20" s="50"/>
      <c r="D20" s="50"/>
      <c r="E20" s="50"/>
      <c r="F20" s="50"/>
      <c r="G20" s="50"/>
      <c r="H20" s="50"/>
      <c r="I20" s="50"/>
      <c r="J20" s="50"/>
      <c r="K20" s="50"/>
      <c r="L20" s="50"/>
      <c r="M20" s="50"/>
      <c r="N20" s="50"/>
      <c r="O20" s="50"/>
      <c r="P20" s="50"/>
      <c r="Q20" s="68"/>
    </row>
    <row r="21" spans="1:17" ht="17" thickBot="1" x14ac:dyDescent="0.25">
      <c r="A21" s="72"/>
      <c r="B21" s="73"/>
      <c r="C21" s="73"/>
      <c r="D21" s="73"/>
      <c r="E21" s="73"/>
      <c r="F21" s="73"/>
      <c r="G21" s="73"/>
      <c r="H21" s="73"/>
      <c r="I21" s="73"/>
      <c r="J21" s="73"/>
      <c r="K21" s="73"/>
      <c r="L21" s="73"/>
      <c r="M21" s="73"/>
      <c r="N21" s="73"/>
      <c r="O21" s="73"/>
      <c r="P21" s="73"/>
      <c r="Q21" s="71"/>
    </row>
    <row r="23" spans="1:17" ht="17" x14ac:dyDescent="0.2">
      <c r="E23" s="135"/>
    </row>
  </sheetData>
  <autoFilter ref="A1:P19">
    <filterColumn colId="1">
      <top10 val="5" filterVal="0.79695364238410593"/>
    </filterColumn>
    <sortState ref="A3:P16">
      <sortCondition descending="1" ref="B1:B19"/>
    </sortState>
  </autoFilter>
  <conditionalFormatting sqref="E2:P19">
    <cfRule type="cellIs" dxfId="1" priority="1" operator="between">
      <formula>0.01</formula>
      <formula>0.75</formula>
    </cfRule>
    <cfRule type="cellIs" dxfId="0" priority="2" operator="equal">
      <formula>0</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enableFormatConditionsCalculation="0"/>
  <dimension ref="A1:P25"/>
  <sheetViews>
    <sheetView workbookViewId="0">
      <pane xSplit="1" ySplit="1" topLeftCell="B2" activePane="bottomRight" state="frozen"/>
      <selection pane="topRight" activeCell="B1" sqref="B1"/>
      <selection pane="bottomLeft" activeCell="A2" sqref="A2"/>
      <selection pane="bottomRight" activeCell="E27" sqref="E27"/>
    </sheetView>
  </sheetViews>
  <sheetFormatPr baseColWidth="10" defaultColWidth="25.33203125" defaultRowHeight="16" x14ac:dyDescent="0.2"/>
  <cols>
    <col min="1" max="1" width="32.5" bestFit="1" customWidth="1"/>
    <col min="2" max="2" width="19.5" bestFit="1" customWidth="1"/>
    <col min="3" max="4" width="15.6640625" customWidth="1"/>
    <col min="5" max="7" width="20" customWidth="1"/>
    <col min="8" max="8" width="22" bestFit="1" customWidth="1"/>
    <col min="9" max="9" width="19.1640625" customWidth="1"/>
    <col min="10" max="10" width="26" customWidth="1"/>
    <col min="11" max="11" width="32.33203125" customWidth="1"/>
    <col min="12" max="12" width="15.6640625" customWidth="1"/>
    <col min="13" max="13" width="15.33203125" customWidth="1"/>
    <col min="14" max="15" width="15.6640625" customWidth="1"/>
  </cols>
  <sheetData>
    <row r="1" spans="1:16" s="51" customFormat="1" ht="39" thickBot="1" x14ac:dyDescent="0.25">
      <c r="A1" s="35" t="s">
        <v>75</v>
      </c>
      <c r="B1" s="35" t="s">
        <v>140</v>
      </c>
      <c r="C1" s="38" t="s">
        <v>117</v>
      </c>
      <c r="D1" s="39" t="s">
        <v>118</v>
      </c>
      <c r="E1" s="94" t="s">
        <v>2</v>
      </c>
      <c r="F1" s="95" t="s">
        <v>3</v>
      </c>
      <c r="G1" s="95" t="s">
        <v>134</v>
      </c>
      <c r="H1" s="96" t="s">
        <v>135</v>
      </c>
      <c r="I1" s="94" t="s">
        <v>112</v>
      </c>
      <c r="J1" s="94" t="s">
        <v>136</v>
      </c>
      <c r="K1" s="96" t="s">
        <v>137</v>
      </c>
      <c r="L1" s="94" t="s">
        <v>138</v>
      </c>
      <c r="M1" s="96" t="s">
        <v>139</v>
      </c>
      <c r="N1" s="94" t="s">
        <v>167</v>
      </c>
      <c r="O1" s="96" t="s">
        <v>166</v>
      </c>
      <c r="P1" s="80"/>
    </row>
    <row r="2" spans="1:16" s="51" customFormat="1" ht="56" customHeight="1" thickBot="1" x14ac:dyDescent="0.25">
      <c r="A2" s="74" t="s">
        <v>133</v>
      </c>
      <c r="B2" s="75" t="str">
        <f>'Data Input'!B2</f>
        <v>*please select*</v>
      </c>
      <c r="C2" s="46">
        <f>'Calculation Table'!B96</f>
        <v>0</v>
      </c>
      <c r="D2" s="47">
        <f>'Calculation Table'!B95</f>
        <v>0</v>
      </c>
      <c r="E2" s="69" t="str">
        <f>'Data Input'!B19</f>
        <v>Past season</v>
      </c>
      <c r="F2" s="76" t="str">
        <f>'Data Input'!B20</f>
        <v>Within 1 month</v>
      </c>
      <c r="G2" s="76" t="str">
        <f>'Data Input'!B21</f>
        <v>Up to 1 month</v>
      </c>
      <c r="H2" s="70" t="str">
        <f>'Data Input'!B22</f>
        <v>Time Period Comparison (2 points)</v>
      </c>
      <c r="I2" s="69" t="str">
        <f>'Data Input'!B18</f>
        <v>Metre</v>
      </c>
      <c r="J2" s="69" t="str">
        <f>'Data Input'!B13&amp;" "&amp;'Data Input'!C13</f>
        <v>0 km2</v>
      </c>
      <c r="K2" s="70" t="str">
        <f>'Data Input'!B11</f>
        <v>*please select*</v>
      </c>
      <c r="L2" s="69" t="str">
        <f>'Data Table'!B11</f>
        <v>Yes</v>
      </c>
      <c r="M2" s="70" t="str">
        <f>'Data Table'!B12</f>
        <v>Yes</v>
      </c>
      <c r="N2" s="69" t="b">
        <f>'Data Table'!B13</f>
        <v>0</v>
      </c>
      <c r="O2" s="70" t="b">
        <f>'Data Table'!B14</f>
        <v>0</v>
      </c>
      <c r="P2" s="81"/>
    </row>
    <row r="3" spans="1:16" s="51" customFormat="1" x14ac:dyDescent="0.2">
      <c r="A3" s="82"/>
      <c r="B3" s="77"/>
      <c r="C3" s="77"/>
      <c r="D3" s="77"/>
      <c r="E3" s="77"/>
      <c r="F3" s="77"/>
      <c r="G3" s="77"/>
      <c r="H3" s="77"/>
      <c r="I3" s="77"/>
      <c r="J3" s="77"/>
      <c r="K3" s="77"/>
      <c r="L3" s="77"/>
      <c r="M3" s="77"/>
      <c r="N3" s="77"/>
      <c r="O3" s="77"/>
      <c r="P3" s="81"/>
    </row>
    <row r="4" spans="1:16" s="51" customFormat="1" ht="17" thickBot="1" x14ac:dyDescent="0.25">
      <c r="A4" s="82"/>
      <c r="B4" s="77"/>
      <c r="C4" s="77"/>
      <c r="D4" s="77"/>
      <c r="E4" s="77"/>
      <c r="F4" s="77"/>
      <c r="G4" s="77"/>
      <c r="H4" s="77"/>
      <c r="I4" s="77"/>
      <c r="J4" s="77"/>
      <c r="K4" s="77"/>
      <c r="L4" s="77"/>
      <c r="M4" s="77"/>
      <c r="N4" s="77"/>
      <c r="O4" s="77"/>
      <c r="P4" s="81"/>
    </row>
    <row r="5" spans="1:16" s="51" customFormat="1" ht="56" customHeight="1" thickBot="1" x14ac:dyDescent="0.25">
      <c r="A5" s="35" t="s">
        <v>75</v>
      </c>
      <c r="B5" s="35" t="s">
        <v>76</v>
      </c>
      <c r="C5" s="38" t="s">
        <v>117</v>
      </c>
      <c r="D5" s="39" t="s">
        <v>118</v>
      </c>
      <c r="E5" s="94" t="s">
        <v>2</v>
      </c>
      <c r="F5" s="95" t="s">
        <v>3</v>
      </c>
      <c r="G5" s="95" t="s">
        <v>134</v>
      </c>
      <c r="H5" s="96" t="s">
        <v>135</v>
      </c>
      <c r="I5" s="94" t="s">
        <v>112</v>
      </c>
      <c r="J5" s="94" t="s">
        <v>136</v>
      </c>
      <c r="K5" s="96" t="s">
        <v>137</v>
      </c>
      <c r="L5" s="94" t="s">
        <v>138</v>
      </c>
      <c r="M5" s="96" t="s">
        <v>139</v>
      </c>
      <c r="N5" s="94" t="s">
        <v>167</v>
      </c>
      <c r="O5" s="96" t="s">
        <v>166</v>
      </c>
      <c r="P5" s="81"/>
    </row>
    <row r="6" spans="1:16" s="2" customFormat="1" ht="56" hidden="1" customHeight="1" x14ac:dyDescent="0.2">
      <c r="A6" s="78" t="s">
        <v>165</v>
      </c>
      <c r="B6" s="57" t="e">
        <f>'Calculation Table'!B144</f>
        <v>#N/A</v>
      </c>
      <c r="C6" s="58">
        <f>'Calculation Table'!C144</f>
        <v>0</v>
      </c>
      <c r="D6" s="59" t="e">
        <f>'Calculation Table'!D144</f>
        <v>#DIV/0!</v>
      </c>
      <c r="E6" s="60" t="s">
        <v>154</v>
      </c>
      <c r="F6" s="87" t="s">
        <v>22</v>
      </c>
      <c r="G6" s="87" t="s">
        <v>26</v>
      </c>
      <c r="H6" s="61" t="s">
        <v>160</v>
      </c>
      <c r="I6" s="136" t="s">
        <v>111</v>
      </c>
      <c r="J6" s="60" t="s">
        <v>149</v>
      </c>
      <c r="K6" s="61" t="str">
        <f>IF($K$2="One Continuous Block",$K$2,IF('Calculation Table'!$H$67="AOI",$K$2&amp;" of AOIs","Entire area over which the AOIs are distributed"))</f>
        <v>Entire area over which the AOIs are distributed</v>
      </c>
      <c r="L6" s="60" t="s">
        <v>145</v>
      </c>
      <c r="M6" s="61" t="s">
        <v>147</v>
      </c>
      <c r="N6" s="60" t="s">
        <v>18</v>
      </c>
      <c r="O6" s="61" t="s">
        <v>172</v>
      </c>
      <c r="P6" s="81"/>
    </row>
    <row r="7" spans="1:16" s="2" customFormat="1" ht="56" customHeight="1" x14ac:dyDescent="0.2">
      <c r="A7" s="79" t="s">
        <v>51</v>
      </c>
      <c r="B7" s="52" t="e">
        <f>'Calculation Table'!B128</f>
        <v>#N/A</v>
      </c>
      <c r="C7" s="53">
        <f>'Calculation Table'!C128</f>
        <v>0</v>
      </c>
      <c r="D7" s="54" t="e">
        <f>'Calculation Table'!D128</f>
        <v>#DIV/0!</v>
      </c>
      <c r="E7" s="64" t="s">
        <v>150</v>
      </c>
      <c r="F7" s="86" t="s">
        <v>153</v>
      </c>
      <c r="G7" s="86" t="s">
        <v>24</v>
      </c>
      <c r="H7" s="65" t="s">
        <v>151</v>
      </c>
      <c r="I7" s="91" t="s">
        <v>142</v>
      </c>
      <c r="J7" s="64" t="s">
        <v>143</v>
      </c>
      <c r="K7" s="65" t="str">
        <f>IF($K$2="One Continuous Block",$K$2,IF('Calculation Table'!$H$67="AOI",$K$2&amp;" of AOIs","Entire area over which the AOIs are distributed"))</f>
        <v>Entire area over which the AOIs are distributed</v>
      </c>
      <c r="L7" s="55" t="s">
        <v>147</v>
      </c>
      <c r="M7" s="56" t="s">
        <v>147</v>
      </c>
      <c r="N7" s="91" t="s">
        <v>180</v>
      </c>
      <c r="O7" s="92" t="s">
        <v>181</v>
      </c>
      <c r="P7" s="81"/>
    </row>
    <row r="8" spans="1:16" s="2" customFormat="1" ht="56" customHeight="1" x14ac:dyDescent="0.2">
      <c r="A8" s="79" t="s">
        <v>62</v>
      </c>
      <c r="B8" s="52" t="e">
        <f>'Calculation Table'!B145</f>
        <v>#N/A</v>
      </c>
      <c r="C8" s="53">
        <f>'Calculation Table'!C145</f>
        <v>0</v>
      </c>
      <c r="D8" s="54" t="e">
        <f>'Calculation Table'!D145</f>
        <v>#DIV/0!</v>
      </c>
      <c r="E8" s="64" t="s">
        <v>159</v>
      </c>
      <c r="F8" s="86" t="s">
        <v>157</v>
      </c>
      <c r="G8" s="86" t="s">
        <v>26</v>
      </c>
      <c r="H8" s="65" t="s">
        <v>159</v>
      </c>
      <c r="I8" s="55" t="s">
        <v>141</v>
      </c>
      <c r="J8" s="64" t="s">
        <v>149</v>
      </c>
      <c r="K8" s="65" t="str">
        <f>IF($K$2="One Continuous Block",$K$2,IF('Calculation Table'!$H$67="AOI",$K$2&amp;" of AOIs","Entire area over which the AOIs are distributed"))</f>
        <v>Entire area over which the AOIs are distributed</v>
      </c>
      <c r="L8" s="55" t="s">
        <v>147</v>
      </c>
      <c r="M8" s="56" t="s">
        <v>145</v>
      </c>
      <c r="N8" s="55" t="s">
        <v>179</v>
      </c>
      <c r="O8" s="56" t="s">
        <v>18</v>
      </c>
      <c r="P8" s="81"/>
    </row>
    <row r="9" spans="1:16" s="2" customFormat="1" ht="56" customHeight="1" x14ac:dyDescent="0.2">
      <c r="A9" s="79" t="s">
        <v>53</v>
      </c>
      <c r="B9" s="52" t="e">
        <f>'Calculation Table'!B131</f>
        <v>#N/A</v>
      </c>
      <c r="C9" s="53">
        <f>'Calculation Table'!C131</f>
        <v>0</v>
      </c>
      <c r="D9" s="54" t="e">
        <f>'Calculation Table'!D131</f>
        <v>#DIV/0!</v>
      </c>
      <c r="E9" s="64" t="s">
        <v>150</v>
      </c>
      <c r="F9" s="86" t="s">
        <v>22</v>
      </c>
      <c r="G9" s="86" t="s">
        <v>24</v>
      </c>
      <c r="H9" s="65" t="s">
        <v>151</v>
      </c>
      <c r="I9" s="55" t="s">
        <v>40</v>
      </c>
      <c r="J9" s="55" t="s">
        <v>143</v>
      </c>
      <c r="K9" s="56" t="str">
        <f>IF($K$2="One Continuous Block",$K$2,IF('Calculation Table'!$H$67="AOI",$K$2&amp;" of AOIs","Entire area over which the AOIs are distributed"))</f>
        <v>Entire area over which the AOIs are distributed</v>
      </c>
      <c r="L9" s="55" t="s">
        <v>147</v>
      </c>
      <c r="M9" s="56" t="s">
        <v>145</v>
      </c>
      <c r="N9" s="55" t="s">
        <v>178</v>
      </c>
      <c r="O9" s="56" t="s">
        <v>18</v>
      </c>
      <c r="P9" s="81"/>
    </row>
    <row r="10" spans="1:16" s="2" customFormat="1" ht="56" customHeight="1" x14ac:dyDescent="0.2">
      <c r="A10" s="79" t="s">
        <v>54</v>
      </c>
      <c r="B10" s="52" t="e">
        <f>'Calculation Table'!B134</f>
        <v>#N/A</v>
      </c>
      <c r="C10" s="53">
        <f>'Calculation Table'!C134</f>
        <v>0</v>
      </c>
      <c r="D10" s="54" t="e">
        <f>'Calculation Table'!D134</f>
        <v>#DIV/0!</v>
      </c>
      <c r="E10" s="64" t="s">
        <v>150</v>
      </c>
      <c r="F10" s="86" t="s">
        <v>152</v>
      </c>
      <c r="G10" s="86" t="s">
        <v>24</v>
      </c>
      <c r="H10" s="65" t="s">
        <v>151</v>
      </c>
      <c r="I10" s="55" t="s">
        <v>40</v>
      </c>
      <c r="J10" s="55" t="s">
        <v>144</v>
      </c>
      <c r="K10" s="56" t="str">
        <f>IF($K$2="One Continuous Block",$K$2,IF('Calculation Table'!$H$67="AOI",$K$2&amp;" of AOIs","Entire area over which the AOIs are distributed"))</f>
        <v>Entire area over which the AOIs are distributed</v>
      </c>
      <c r="L10" s="55" t="s">
        <v>147</v>
      </c>
      <c r="M10" s="56" t="s">
        <v>145</v>
      </c>
      <c r="N10" s="55" t="s">
        <v>177</v>
      </c>
      <c r="O10" s="56" t="s">
        <v>18</v>
      </c>
      <c r="P10" s="81"/>
    </row>
    <row r="11" spans="1:16" s="2" customFormat="1" ht="56" customHeight="1" x14ac:dyDescent="0.2">
      <c r="A11" s="79" t="s">
        <v>55</v>
      </c>
      <c r="B11" s="52" t="e">
        <f>'Calculation Table'!B132</f>
        <v>#N/A</v>
      </c>
      <c r="C11" s="53">
        <f>'Calculation Table'!C132</f>
        <v>0</v>
      </c>
      <c r="D11" s="54" t="e">
        <f>'Calculation Table'!D132</f>
        <v>#DIV/0!</v>
      </c>
      <c r="E11" s="64" t="s">
        <v>150</v>
      </c>
      <c r="F11" s="86" t="s">
        <v>152</v>
      </c>
      <c r="G11" s="86" t="s">
        <v>24</v>
      </c>
      <c r="H11" s="65" t="s">
        <v>151</v>
      </c>
      <c r="I11" s="55" t="s">
        <v>40</v>
      </c>
      <c r="J11" s="55" t="s">
        <v>144</v>
      </c>
      <c r="K11" s="56" t="str">
        <f>IF($K$2="One Continuous Block",$K$2,IF('Calculation Table'!$H$67="AOI",$K$2&amp;" of AOIs","Entire area over which the AOIs are distributed"))</f>
        <v>Entire area over which the AOIs are distributed</v>
      </c>
      <c r="L11" s="55" t="s">
        <v>146</v>
      </c>
      <c r="M11" s="56" t="s">
        <v>147</v>
      </c>
      <c r="N11" s="55" t="s">
        <v>179</v>
      </c>
      <c r="O11" s="56" t="s">
        <v>173</v>
      </c>
      <c r="P11" s="81"/>
    </row>
    <row r="12" spans="1:16" s="2" customFormat="1" ht="56" hidden="1" customHeight="1" x14ac:dyDescent="0.2">
      <c r="A12" s="79" t="s">
        <v>57</v>
      </c>
      <c r="B12" s="52" t="e">
        <f>'Calculation Table'!B137</f>
        <v>#N/A</v>
      </c>
      <c r="C12" s="53">
        <f>'Calculation Table'!C137</f>
        <v>150000</v>
      </c>
      <c r="D12" s="54" t="e">
        <f>'Calculation Table'!D137</f>
        <v>#DIV/0!</v>
      </c>
      <c r="E12" s="64" t="s">
        <v>150</v>
      </c>
      <c r="F12" s="86" t="s">
        <v>157</v>
      </c>
      <c r="G12" s="86" t="s">
        <v>24</v>
      </c>
      <c r="H12" s="65" t="s">
        <v>151</v>
      </c>
      <c r="I12" s="62" t="s">
        <v>40</v>
      </c>
      <c r="J12" s="64" t="s">
        <v>149</v>
      </c>
      <c r="K12" s="65" t="str">
        <f>IF($K$2="One Continuous Block",$K$2,IF('Calculation Table'!$H$67="AOI",$K$2&amp;" of AOIs","Entire area over which the AOIs are distributed"))</f>
        <v>Entire area over which the AOIs are distributed</v>
      </c>
      <c r="L12" s="55" t="s">
        <v>147</v>
      </c>
      <c r="M12" s="56" t="s">
        <v>145</v>
      </c>
      <c r="N12" s="55" t="s">
        <v>177</v>
      </c>
      <c r="O12" s="56" t="s">
        <v>18</v>
      </c>
      <c r="P12" s="81"/>
    </row>
    <row r="13" spans="1:16" s="2" customFormat="1" ht="56" hidden="1" customHeight="1" x14ac:dyDescent="0.2">
      <c r="A13" s="79" t="s">
        <v>56</v>
      </c>
      <c r="B13" s="52" t="e">
        <f>'Calculation Table'!B135</f>
        <v>#N/A</v>
      </c>
      <c r="C13" s="53">
        <f>'Calculation Table'!C135</f>
        <v>150000</v>
      </c>
      <c r="D13" s="54" t="e">
        <f>'Calculation Table'!D135</f>
        <v>#DIV/0!</v>
      </c>
      <c r="E13" s="64" t="s">
        <v>150</v>
      </c>
      <c r="F13" s="86" t="s">
        <v>157</v>
      </c>
      <c r="G13" s="86" t="s">
        <v>24</v>
      </c>
      <c r="H13" s="65" t="s">
        <v>151</v>
      </c>
      <c r="I13" s="62" t="s">
        <v>40</v>
      </c>
      <c r="J13" s="55" t="s">
        <v>149</v>
      </c>
      <c r="K13" s="56" t="str">
        <f>IF($K$2="One Continuous Block",$K$2,IF('Calculation Table'!$H$67="AOI",$K$2&amp;" of AOIs","Entire area over which the AOIs are distributed"))</f>
        <v>Entire area over which the AOIs are distributed</v>
      </c>
      <c r="L13" s="55" t="s">
        <v>146</v>
      </c>
      <c r="M13" s="56" t="s">
        <v>147</v>
      </c>
      <c r="N13" s="55" t="s">
        <v>179</v>
      </c>
      <c r="O13" s="56" t="s">
        <v>173</v>
      </c>
      <c r="P13" s="81"/>
    </row>
    <row r="14" spans="1:16" s="2" customFormat="1" ht="56" hidden="1" customHeight="1" x14ac:dyDescent="0.2">
      <c r="A14" s="79" t="s">
        <v>59</v>
      </c>
      <c r="B14" s="52" t="e">
        <f>'Calculation Table'!B140</f>
        <v>#N/A</v>
      </c>
      <c r="C14" s="53">
        <f>'Calculation Table'!C140</f>
        <v>150000</v>
      </c>
      <c r="D14" s="54" t="e">
        <f>'Calculation Table'!D140</f>
        <v>#DIV/0!</v>
      </c>
      <c r="E14" s="64" t="s">
        <v>150</v>
      </c>
      <c r="F14" s="86" t="s">
        <v>158</v>
      </c>
      <c r="G14" s="86" t="s">
        <v>24</v>
      </c>
      <c r="H14" s="65" t="s">
        <v>151</v>
      </c>
      <c r="I14" s="55" t="s">
        <v>40</v>
      </c>
      <c r="J14" s="55" t="s">
        <v>149</v>
      </c>
      <c r="K14" s="56" t="str">
        <f>IF($K$2="One Continuous Block",$K$2,IF('Calculation Table'!$H$67="AOI",$K$2&amp;" of AOIs","Entire area over which the AOIs are distributed"))</f>
        <v>Entire area over which the AOIs are distributed</v>
      </c>
      <c r="L14" s="55" t="s">
        <v>147</v>
      </c>
      <c r="M14" s="56" t="s">
        <v>145</v>
      </c>
      <c r="N14" s="55" t="s">
        <v>177</v>
      </c>
      <c r="O14" s="56" t="s">
        <v>18</v>
      </c>
      <c r="P14" s="81"/>
    </row>
    <row r="15" spans="1:16" s="2" customFormat="1" ht="56" hidden="1" customHeight="1" x14ac:dyDescent="0.2">
      <c r="A15" s="79" t="s">
        <v>58</v>
      </c>
      <c r="B15" s="52" t="e">
        <f>'Calculation Table'!B138</f>
        <v>#N/A</v>
      </c>
      <c r="C15" s="53">
        <f>'Calculation Table'!C138</f>
        <v>150000</v>
      </c>
      <c r="D15" s="54" t="e">
        <f>'Calculation Table'!D138</f>
        <v>#DIV/0!</v>
      </c>
      <c r="E15" s="64" t="s">
        <v>150</v>
      </c>
      <c r="F15" s="86" t="s">
        <v>158</v>
      </c>
      <c r="G15" s="86" t="s">
        <v>24</v>
      </c>
      <c r="H15" s="65" t="s">
        <v>151</v>
      </c>
      <c r="I15" s="62" t="s">
        <v>40</v>
      </c>
      <c r="J15" s="64" t="s">
        <v>149</v>
      </c>
      <c r="K15" s="65" t="str">
        <f>IF($K$2="One Continuous Block",$K$2,IF('Calculation Table'!$H$67="AOI",$K$2&amp;" of AOIs","Entire area over which the AOIs are distributed"))</f>
        <v>Entire area over which the AOIs are distributed</v>
      </c>
      <c r="L15" s="55" t="s">
        <v>146</v>
      </c>
      <c r="M15" s="56" t="s">
        <v>147</v>
      </c>
      <c r="N15" s="55" t="s">
        <v>179</v>
      </c>
      <c r="O15" s="56" t="s">
        <v>173</v>
      </c>
      <c r="P15" s="81"/>
    </row>
    <row r="16" spans="1:16" s="2" customFormat="1" ht="56" hidden="1" customHeight="1" x14ac:dyDescent="0.2">
      <c r="A16" s="79" t="s">
        <v>60</v>
      </c>
      <c r="B16" s="52" t="e">
        <f>'Calculation Table'!B141</f>
        <v>#N/A</v>
      </c>
      <c r="C16" s="53">
        <f>'Calculation Table'!C141</f>
        <v>150000</v>
      </c>
      <c r="D16" s="54" t="e">
        <f>'Calculation Table'!D141</f>
        <v>#DIV/0!</v>
      </c>
      <c r="E16" s="64" t="s">
        <v>150</v>
      </c>
      <c r="F16" s="86" t="s">
        <v>158</v>
      </c>
      <c r="G16" s="86" t="s">
        <v>24</v>
      </c>
      <c r="H16" s="65" t="s">
        <v>151</v>
      </c>
      <c r="I16" s="63" t="s">
        <v>111</v>
      </c>
      <c r="J16" s="64" t="s">
        <v>149</v>
      </c>
      <c r="K16" s="65" t="str">
        <f>IF($K$2="One Continuous Block",$K$2,IF('Calculation Table'!$H$67="AOI",$K$2&amp;" of AOIs","Entire area over which the AOIs are distributed"))</f>
        <v>Entire area over which the AOIs are distributed</v>
      </c>
      <c r="L16" s="55" t="s">
        <v>147</v>
      </c>
      <c r="M16" s="56" t="s">
        <v>145</v>
      </c>
      <c r="N16" s="55" t="s">
        <v>179</v>
      </c>
      <c r="O16" s="56" t="s">
        <v>18</v>
      </c>
      <c r="P16" s="81"/>
    </row>
    <row r="17" spans="1:16" s="2" customFormat="1" ht="56" hidden="1" customHeight="1" x14ac:dyDescent="0.2">
      <c r="A17" s="79" t="s">
        <v>162</v>
      </c>
      <c r="B17" s="52" t="e">
        <f>'Calculation Table'!B133</f>
        <v>#N/A</v>
      </c>
      <c r="C17" s="53">
        <f>'Calculation Table'!C133</f>
        <v>0</v>
      </c>
      <c r="D17" s="54" t="e">
        <f>'Calculation Table'!D133</f>
        <v>#DIV/0!</v>
      </c>
      <c r="E17" s="64" t="s">
        <v>150</v>
      </c>
      <c r="F17" s="86" t="s">
        <v>152</v>
      </c>
      <c r="G17" s="86" t="s">
        <v>24</v>
      </c>
      <c r="H17" s="65" t="s">
        <v>151</v>
      </c>
      <c r="I17" s="63" t="s">
        <v>111</v>
      </c>
      <c r="J17" s="64" t="s">
        <v>144</v>
      </c>
      <c r="K17" s="65" t="str">
        <f>IF($K$2="One Continuous Block",$K$2,IF('Calculation Table'!$H$67="AOI",$K$2&amp;" of AOIs","Entire area over which the AOIs are distributed"))</f>
        <v>Entire area over which the AOIs are distributed</v>
      </c>
      <c r="L17" s="55" t="s">
        <v>145</v>
      </c>
      <c r="M17" s="56" t="s">
        <v>147</v>
      </c>
      <c r="N17" s="55" t="s">
        <v>18</v>
      </c>
      <c r="O17" s="56" t="s">
        <v>172</v>
      </c>
      <c r="P17" s="81"/>
    </row>
    <row r="18" spans="1:16" s="2" customFormat="1" ht="56" hidden="1" customHeight="1" x14ac:dyDescent="0.2">
      <c r="A18" s="79" t="s">
        <v>161</v>
      </c>
      <c r="B18" s="52" t="e">
        <f>'Calculation Table'!B130</f>
        <v>#N/A</v>
      </c>
      <c r="C18" s="53">
        <f>'Calculation Table'!C130</f>
        <v>0</v>
      </c>
      <c r="D18" s="54" t="e">
        <f>'Calculation Table'!D130</f>
        <v>#DIV/0!</v>
      </c>
      <c r="E18" s="64" t="s">
        <v>150</v>
      </c>
      <c r="F18" s="86" t="s">
        <v>22</v>
      </c>
      <c r="G18" s="86" t="s">
        <v>24</v>
      </c>
      <c r="H18" s="65" t="s">
        <v>151</v>
      </c>
      <c r="I18" s="63" t="s">
        <v>111</v>
      </c>
      <c r="J18" s="64" t="s">
        <v>143</v>
      </c>
      <c r="K18" s="65" t="str">
        <f>IF($K$2="One Continuous Block",$K$2,IF('Calculation Table'!$H$67="AOI",$K$2&amp;" of AOIs","Entire area over which the AOIs are distributed"))</f>
        <v>Entire area over which the AOIs are distributed</v>
      </c>
      <c r="L18" s="55" t="s">
        <v>145</v>
      </c>
      <c r="M18" s="56" t="s">
        <v>147</v>
      </c>
      <c r="N18" s="55" t="s">
        <v>18</v>
      </c>
      <c r="O18" s="56" t="s">
        <v>172</v>
      </c>
      <c r="P18" s="81"/>
    </row>
    <row r="19" spans="1:16" s="2" customFormat="1" ht="56" hidden="1" customHeight="1" x14ac:dyDescent="0.2">
      <c r="A19" s="88" t="s">
        <v>219</v>
      </c>
      <c r="B19" s="52" t="e">
        <f>'Calculation Table'!B142</f>
        <v>#N/A</v>
      </c>
      <c r="C19" s="53">
        <f>'Calculation Table'!C142</f>
        <v>0</v>
      </c>
      <c r="D19" s="54" t="e">
        <f>'Calculation Table'!D142</f>
        <v>#DIV/0!</v>
      </c>
      <c r="E19" s="64" t="s">
        <v>220</v>
      </c>
      <c r="F19" s="86" t="s">
        <v>221</v>
      </c>
      <c r="G19" s="86" t="s">
        <v>222</v>
      </c>
      <c r="H19" s="65" t="s">
        <v>223</v>
      </c>
      <c r="I19" s="55" t="s">
        <v>224</v>
      </c>
      <c r="J19" s="55" t="s">
        <v>149</v>
      </c>
      <c r="K19" s="56" t="str">
        <f>IF($K$2="One Continuous Block",$K$2,IF('Calculation Table'!$H$67="AOI",$K$2&amp;" of AOIs","Entire area over which the AOIs are distributed"))</f>
        <v>Entire area over which the AOIs are distributed</v>
      </c>
      <c r="L19" s="55" t="s">
        <v>145</v>
      </c>
      <c r="M19" s="56" t="s">
        <v>147</v>
      </c>
      <c r="N19" s="55" t="s">
        <v>18</v>
      </c>
      <c r="O19" s="56" t="s">
        <v>174</v>
      </c>
      <c r="P19" s="81"/>
    </row>
    <row r="20" spans="1:16" s="2" customFormat="1" ht="56" customHeight="1" x14ac:dyDescent="0.2">
      <c r="A20" s="88" t="s">
        <v>52</v>
      </c>
      <c r="B20" s="52" t="e">
        <f>'Calculation Table'!B129</f>
        <v>#N/A</v>
      </c>
      <c r="C20" s="53">
        <f>'Calculation Table'!C129</f>
        <v>0</v>
      </c>
      <c r="D20" s="54" t="e">
        <f>'Calculation Table'!D129</f>
        <v>#DIV/0!</v>
      </c>
      <c r="E20" s="64" t="s">
        <v>150</v>
      </c>
      <c r="F20" s="86" t="s">
        <v>22</v>
      </c>
      <c r="G20" s="86" t="s">
        <v>24</v>
      </c>
      <c r="H20" s="65" t="s">
        <v>151</v>
      </c>
      <c r="I20" s="55" t="s">
        <v>40</v>
      </c>
      <c r="J20" s="55" t="s">
        <v>143</v>
      </c>
      <c r="K20" s="56" t="str">
        <f>IF($K$2="One Continuous Block",$K$2,IF('Calculation Table'!$H$67="AOI",$K$2&amp;" of AOIs","Entire area over which the AOIs are distributed"))</f>
        <v>Entire area over which the AOIs are distributed</v>
      </c>
      <c r="L20" s="55" t="s">
        <v>146</v>
      </c>
      <c r="M20" s="56" t="s">
        <v>147</v>
      </c>
      <c r="N20" s="55" t="s">
        <v>179</v>
      </c>
      <c r="O20" s="56" t="s">
        <v>173</v>
      </c>
      <c r="P20" s="81"/>
    </row>
    <row r="21" spans="1:16" s="2" customFormat="1" ht="56" hidden="1" customHeight="1" x14ac:dyDescent="0.2">
      <c r="A21" s="88" t="s">
        <v>163</v>
      </c>
      <c r="B21" s="52" t="e">
        <f>'Calculation Table'!B136</f>
        <v>#N/A</v>
      </c>
      <c r="C21" s="53">
        <f>'Calculation Table'!C136</f>
        <v>150000</v>
      </c>
      <c r="D21" s="54" t="e">
        <f>'Calculation Table'!D136</f>
        <v>#DIV/0!</v>
      </c>
      <c r="E21" s="64" t="s">
        <v>150</v>
      </c>
      <c r="F21" s="86" t="s">
        <v>157</v>
      </c>
      <c r="G21" s="86" t="s">
        <v>24</v>
      </c>
      <c r="H21" s="65" t="s">
        <v>151</v>
      </c>
      <c r="I21" s="63" t="s">
        <v>111</v>
      </c>
      <c r="J21" s="64" t="s">
        <v>149</v>
      </c>
      <c r="K21" s="65" t="str">
        <f>IF($K$2="One Continuous Block",$K$2,IF('Calculation Table'!$H$67="AOI",$K$2&amp;" of AOIs","Entire area over which the AOIs are distributed"))</f>
        <v>Entire area over which the AOIs are distributed</v>
      </c>
      <c r="L21" s="55" t="s">
        <v>145</v>
      </c>
      <c r="M21" s="56" t="s">
        <v>147</v>
      </c>
      <c r="N21" s="55" t="s">
        <v>18</v>
      </c>
      <c r="O21" s="56" t="s">
        <v>172</v>
      </c>
      <c r="P21" s="81"/>
    </row>
    <row r="22" spans="1:16" s="2" customFormat="1" ht="56" hidden="1" customHeight="1" x14ac:dyDescent="0.2">
      <c r="A22" s="88" t="s">
        <v>61</v>
      </c>
      <c r="B22" s="52" t="e">
        <f>'Calculation Table'!B143</f>
        <v>#N/A</v>
      </c>
      <c r="C22" s="53">
        <f>'Calculation Table'!C143</f>
        <v>0</v>
      </c>
      <c r="D22" s="54" t="e">
        <f>'Calculation Table'!D143</f>
        <v>#DIV/0!</v>
      </c>
      <c r="E22" s="64" t="s">
        <v>154</v>
      </c>
      <c r="F22" s="86" t="s">
        <v>22</v>
      </c>
      <c r="G22" s="86" t="s">
        <v>26</v>
      </c>
      <c r="H22" s="65" t="s">
        <v>160</v>
      </c>
      <c r="I22" s="55" t="s">
        <v>40</v>
      </c>
      <c r="J22" s="64" t="s">
        <v>149</v>
      </c>
      <c r="K22" s="65" t="str">
        <f>IF($K$2="One Continuous Block",$K$2,IF('Calculation Table'!$H$67="AOI",$K$2&amp;" of AOIs","Entire area over which the AOIs are distributed"))</f>
        <v>Entire area over which the AOIs are distributed</v>
      </c>
      <c r="L22" s="55" t="s">
        <v>145</v>
      </c>
      <c r="M22" s="56" t="s">
        <v>147</v>
      </c>
      <c r="N22" s="55" t="s">
        <v>18</v>
      </c>
      <c r="O22" s="56" t="s">
        <v>173</v>
      </c>
      <c r="P22" s="81"/>
    </row>
    <row r="23" spans="1:16" s="2" customFormat="1" ht="56" hidden="1" customHeight="1" x14ac:dyDescent="0.2">
      <c r="A23" s="88" t="s">
        <v>164</v>
      </c>
      <c r="B23" s="52" t="e">
        <f>'Calculation Table'!B139</f>
        <v>#N/A</v>
      </c>
      <c r="C23" s="53">
        <f>'Calculation Table'!C139</f>
        <v>150000</v>
      </c>
      <c r="D23" s="54" t="e">
        <f>'Calculation Table'!D139</f>
        <v>#DIV/0!</v>
      </c>
      <c r="E23" s="64" t="s">
        <v>150</v>
      </c>
      <c r="F23" s="86" t="s">
        <v>158</v>
      </c>
      <c r="G23" s="86" t="s">
        <v>24</v>
      </c>
      <c r="H23" s="65" t="s">
        <v>151</v>
      </c>
      <c r="I23" s="63" t="s">
        <v>111</v>
      </c>
      <c r="J23" s="64" t="s">
        <v>149</v>
      </c>
      <c r="K23" s="65" t="str">
        <f>IF($K$2="One Continuous Block",$K$2,IF('Calculation Table'!$H$67="AOI",$K$2&amp;" of AOIs","Entire area over which the AOIs are distributed"))</f>
        <v>Entire area over which the AOIs are distributed</v>
      </c>
      <c r="L23" s="55" t="s">
        <v>145</v>
      </c>
      <c r="M23" s="56" t="s">
        <v>147</v>
      </c>
      <c r="N23" s="55" t="s">
        <v>18</v>
      </c>
      <c r="O23" s="56" t="s">
        <v>172</v>
      </c>
      <c r="P23" s="81"/>
    </row>
    <row r="24" spans="1:16" x14ac:dyDescent="0.2">
      <c r="A24" s="82"/>
      <c r="B24" s="77"/>
      <c r="C24" s="77"/>
      <c r="D24" s="77"/>
      <c r="E24" s="77"/>
      <c r="F24" s="77"/>
      <c r="G24" s="77"/>
      <c r="H24" s="77"/>
      <c r="I24" s="77"/>
      <c r="J24" s="77"/>
      <c r="K24" s="77"/>
      <c r="L24" s="77"/>
      <c r="M24" s="77"/>
      <c r="N24" s="77"/>
      <c r="O24" s="77"/>
      <c r="P24" s="81"/>
    </row>
    <row r="25" spans="1:16" ht="17" thickBot="1" x14ac:dyDescent="0.25">
      <c r="A25" s="83"/>
      <c r="B25" s="84"/>
      <c r="C25" s="84"/>
      <c r="D25" s="84"/>
      <c r="E25" s="84"/>
      <c r="F25" s="84"/>
      <c r="G25" s="84"/>
      <c r="H25" s="84"/>
      <c r="I25" s="84"/>
      <c r="J25" s="84"/>
      <c r="K25" s="84"/>
      <c r="L25" s="84"/>
      <c r="M25" s="84"/>
      <c r="N25" s="84"/>
      <c r="O25" s="84"/>
      <c r="P25" s="85"/>
    </row>
  </sheetData>
  <autoFilter ref="A5:O23">
    <filterColumn colId="1">
      <top10 val="5" filterVal="0.79695364238410593"/>
    </filterColumn>
    <sortState ref="A7:O20">
      <sortCondition descending="1" ref="B5:B23"/>
    </sortState>
  </autoFilter>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G34"/>
  <sheetViews>
    <sheetView workbookViewId="0">
      <selection activeCell="E32" sqref="E32"/>
    </sheetView>
  </sheetViews>
  <sheetFormatPr baseColWidth="10" defaultRowHeight="16" x14ac:dyDescent="0.2"/>
  <cols>
    <col min="1" max="1" width="60.6640625" style="137" bestFit="1" customWidth="1"/>
    <col min="2" max="2" width="29.33203125" style="137" bestFit="1" customWidth="1"/>
    <col min="3" max="3" width="13.5" style="137" bestFit="1" customWidth="1"/>
    <col min="4" max="4" width="17" style="137" bestFit="1" customWidth="1"/>
    <col min="5" max="5" width="25.33203125" style="137" bestFit="1" customWidth="1"/>
    <col min="6" max="6" width="10.83203125" style="137"/>
    <col min="7" max="7" width="23" style="137" bestFit="1" customWidth="1"/>
    <col min="8" max="8" width="12" style="137" bestFit="1" customWidth="1"/>
    <col min="9" max="9" width="15.6640625" style="137" bestFit="1" customWidth="1"/>
    <col min="10" max="10" width="14.33203125" style="137" bestFit="1" customWidth="1"/>
    <col min="11" max="16384" width="10.83203125" style="137"/>
  </cols>
  <sheetData>
    <row r="1" spans="1:7" ht="17" thickBot="1" x14ac:dyDescent="0.25"/>
    <row r="2" spans="1:7" x14ac:dyDescent="0.2">
      <c r="A2" s="138" t="s">
        <v>104</v>
      </c>
      <c r="B2" s="139" t="s">
        <v>50</v>
      </c>
      <c r="C2" s="140" t="s">
        <v>72</v>
      </c>
      <c r="D2" s="139" t="s">
        <v>86</v>
      </c>
      <c r="G2" s="141"/>
    </row>
    <row r="3" spans="1:7" x14ac:dyDescent="0.2">
      <c r="A3" s="142" t="str">
        <f>"PastData"&amp;SUBSTITUTE('Data Input'!B2," ","")</f>
        <v>PastData*pleaseselect*</v>
      </c>
      <c r="B3" s="143" t="str">
        <f>'Data Input'!B19</f>
        <v>Past season</v>
      </c>
      <c r="C3" s="143">
        <f>VLOOKUP('Data Input'!C19,Dropdowns!$A$26:$B$30,2,FALSE)</f>
        <v>5</v>
      </c>
      <c r="D3" s="144">
        <f>VLOOKUP('Data Input'!D19,Dropdowns!$D$26:$E$30,2,FALSE)</f>
        <v>0.5</v>
      </c>
    </row>
    <row r="4" spans="1:7" x14ac:dyDescent="0.2">
      <c r="A4" s="142" t="str">
        <f>"FutureData"&amp;SUBSTITUTE('Data Input'!B2," ","")</f>
        <v>FutureData*pleaseselect*</v>
      </c>
      <c r="B4" s="143" t="str">
        <f>'Data Input'!B20</f>
        <v>Within 1 month</v>
      </c>
      <c r="C4" s="143">
        <f>VLOOKUP('Data Input'!C20,Dropdowns!$A$26:$B$30,2,FALSE)</f>
        <v>5</v>
      </c>
      <c r="D4" s="144">
        <f>VLOOKUP('Data Input'!D20,Dropdowns!$D$26:$E$30,2,FALSE)</f>
        <v>0.25</v>
      </c>
    </row>
    <row r="5" spans="1:7" x14ac:dyDescent="0.2">
      <c r="A5" s="142" t="str">
        <f>"Access"&amp;SUBSTITUTE('Data Input'!B2," ","")</f>
        <v>Access*pleaseselect*</v>
      </c>
      <c r="B5" s="143" t="str">
        <f>'Data Input'!B21</f>
        <v>Up to 1 month</v>
      </c>
      <c r="C5" s="143">
        <f>VLOOKUP('Data Input'!C21,Dropdowns!$A$26:$B$30,2,FALSE)</f>
        <v>9</v>
      </c>
      <c r="D5" s="144">
        <f>VLOOKUP('Data Input'!D21,Dropdowns!$D$26:$E$30,2,FALSE)</f>
        <v>0.25</v>
      </c>
    </row>
    <row r="6" spans="1:7" x14ac:dyDescent="0.2">
      <c r="A6" s="142" t="str">
        <f>"Frequency"&amp;SUBSTITUTE('Data Input'!B2," ","")</f>
        <v>Frequency*pleaseselect*</v>
      </c>
      <c r="B6" s="143" t="str">
        <f>'Data Input'!B22</f>
        <v>Time Period Comparison (2 points)</v>
      </c>
      <c r="C6" s="143">
        <f>VLOOKUP('Data Input'!C22,Dropdowns!$A$26:$B$30,2,FALSE)</f>
        <v>9</v>
      </c>
      <c r="D6" s="144">
        <f>VLOOKUP('Data Input'!D22,Dropdowns!$D$26:$E$30,2,FALSE)</f>
        <v>0.5</v>
      </c>
    </row>
    <row r="7" spans="1:7" x14ac:dyDescent="0.2">
      <c r="A7" s="142" t="str">
        <f>"SpatialResolution"&amp;SUBSTITUTE('Data Input'!B2," ","")</f>
        <v>SpatialResolution*pleaseselect*</v>
      </c>
      <c r="B7" s="143" t="str">
        <f>'Data Input'!B18</f>
        <v>Metre</v>
      </c>
      <c r="C7" s="143">
        <f>VLOOKUP('Data Input'!C18,Dropdowns!$A$26:$B$30,2,FALSE)</f>
        <v>5</v>
      </c>
      <c r="D7" s="144">
        <f>VLOOKUP('Data Input'!D18,Dropdowns!$D$26:$E$30,2,FALSE)</f>
        <v>0.5</v>
      </c>
    </row>
    <row r="8" spans="1:7" x14ac:dyDescent="0.2">
      <c r="A8" s="142" t="str">
        <f>"AOI"&amp;SUBSTITUTE('Data Input'!B2," ","")</f>
        <v>AOI*pleaseselect*</v>
      </c>
      <c r="B8" s="143" t="str">
        <f>IF($B$23&lt;=100,"Plot (1 ha to 1 km2)",IF(AND($B$23&gt;100, $B$23&lt;=1000),"Stand (1 to 10 km2)",IF(AND($B$23&gt;1000,$B$23&lt;=10000),"Landscape (10 to 100 km2)",IF($B$23&gt;10000,"Regional (100+ km2)","Plot (1 ha to 1 km2)"))))</f>
        <v>Plot (1 ha to 1 km2)</v>
      </c>
      <c r="C8" s="143">
        <f>VLOOKUP('Data Input'!B14,Dropdowns!$A$26:$B$30,2,FALSE)</f>
        <v>5</v>
      </c>
      <c r="D8" s="144">
        <f>VLOOKUP('Data Input'!B15,Dropdowns!$D$26:$E$30,2,FALSE)</f>
        <v>0.5</v>
      </c>
    </row>
    <row r="9" spans="1:7" x14ac:dyDescent="0.2">
      <c r="A9" s="142" t="str">
        <f>"Area"&amp;SUBSTITUTE('Data Input'!B2," ","")</f>
        <v>Area*pleaseselect*</v>
      </c>
      <c r="B9" s="143" t="str">
        <f>IF($B$24&lt;=100,"Plot (1 ha to 1 km2)",IF(AND($B$24&gt;100, $B$24&lt;=1000),"Stand (1 to 10 km2)",IF(AND($B$24&gt;1000,$B$24&lt;=10000),"Landscape (10 to 100 km2)",IF($B$24&gt;10000,"Regional (100+ km2)","Plot (1 ha to 1 km2)"))))</f>
        <v>Plot (1 ha to 1 km2)</v>
      </c>
      <c r="C9" s="143">
        <f>VLOOKUP('Data Input'!B14,Dropdowns!$A$26:$B$30,2,FALSE)</f>
        <v>5</v>
      </c>
      <c r="D9" s="144">
        <f>VLOOKUP('Data Input'!B15,Dropdowns!$D$26:$E$30,2,FALSE)</f>
        <v>0.5</v>
      </c>
    </row>
    <row r="10" spans="1:7" x14ac:dyDescent="0.2">
      <c r="A10" s="142" t="str">
        <f>"Distribution"&amp;SUBSTITUTE('Data Input'!B2," ","")</f>
        <v>Distribution*pleaseselect*</v>
      </c>
      <c r="B10" s="143" t="str">
        <f>'Data Input'!B11</f>
        <v>*please select*</v>
      </c>
      <c r="C10" s="143">
        <f>VLOOKUP('Data Input'!B14,Dropdowns!$A$26:$B$30,2,FALSE)</f>
        <v>5</v>
      </c>
      <c r="D10" s="144">
        <v>0</v>
      </c>
    </row>
    <row r="11" spans="1:7" x14ac:dyDescent="0.2">
      <c r="A11" s="142" t="str">
        <f>"StructuralMetrics"&amp;SUBSTITUTE('Data Input'!B2," ","")</f>
        <v>StructuralMetrics*pleaseselect*</v>
      </c>
      <c r="B11" s="143" t="str">
        <f>IF('Data Input'!$B$2="Disease outbreak","No","Yes")</f>
        <v>Yes</v>
      </c>
      <c r="C11" s="143" t="b">
        <f>IF('Data Input'!$B$2="Storm event",10,IF('Data Input'!$B$2="Disease outbreak",0,IF('Data Input'!$B$2="Woodland Carbon Code monitoring",10)))</f>
        <v>0</v>
      </c>
      <c r="D11" s="144" t="b">
        <f>IF('Data Input'!$B$2="Storm event",0,IF('Data Input'!$B$2="Disease outbreak",1,IF('Data Input'!$B$2="Woodland Carbon Code monitoring",0)))</f>
        <v>0</v>
      </c>
    </row>
    <row r="12" spans="1:7" x14ac:dyDescent="0.2">
      <c r="A12" s="142" t="str">
        <f>"SpectralMetrics"&amp;SUBSTITUTE('Data Input'!B2," ","")</f>
        <v>SpectralMetrics*pleaseselect*</v>
      </c>
      <c r="B12" s="143" t="str">
        <f>IF('Data Input'!$B$2="Woodland Carbon Code monitoring","No","Yes")</f>
        <v>Yes</v>
      </c>
      <c r="C12" s="143" t="b">
        <f>IF('Data Input'!$B$2="Storm event",5,IF('Data Input'!$B$2="Disease outbreak",10,IF('Data Input'!$B$2="Woodland Carbon Code monitoring",0)))</f>
        <v>0</v>
      </c>
      <c r="D12" s="144" t="b">
        <f>IF('Data Input'!$B$2="Storm event",0.5,IF('Data Input'!$B$2="Disease outbreak",0,IF('Data Input'!$B$2="Woodland Carbon Code monitoring",1)))</f>
        <v>0</v>
      </c>
    </row>
    <row r="13" spans="1:7" x14ac:dyDescent="0.2">
      <c r="A13" s="142" t="str">
        <f>"StructuralAccuracy"&amp;SUBSTITUTE('Data Input'!B2," ","")</f>
        <v>StructuralAccuracy*pleaseselect*</v>
      </c>
      <c r="B13" s="143" t="b">
        <f>IF('Data Input'!$B$2="Storm event","Less than 30cm (better)",IF('Data Input'!$B$2="Disease outbreak","Greater than a metre (lowest)",IF('Data Input'!$B$2="Woodland Carbon Code monitoring","Less than 10cm (best)")))</f>
        <v>0</v>
      </c>
      <c r="C13" s="143" t="b">
        <f>IF('Data Input'!$B$2="Storm event",7.5,IF('Data Input'!$B$2="Disease outbreak",0,IF('Data Input'!$B$2="Woodland Carbon Code monitoring",10)))</f>
        <v>0</v>
      </c>
      <c r="D13" s="144" t="b">
        <f>IF('Data Input'!$B$2="Storm event",0.25,IF('Data Input'!$B$2="Disease outbreak",1,IF('Data Input'!$B$2="Woodland Carbon Code monitoring",0)))</f>
        <v>0</v>
      </c>
    </row>
    <row r="14" spans="1:7" x14ac:dyDescent="0.2">
      <c r="A14" s="142" t="str">
        <f>"SpectralAccuracy"&amp;SUBSTITUTE('Data Input'!B2," ","")</f>
        <v>SpectralAccuracy*pleaseselect*</v>
      </c>
      <c r="B14" s="143" t="b">
        <f>IF('Data Input'!$B$2="Storm event","Medium",IF('Data Input'!$B$2="Disease outbreak","High",IF('Data Input'!$B$2="Woodland Carbon Code monitoring","Low")))</f>
        <v>0</v>
      </c>
      <c r="C14" s="143" t="b">
        <f>IF('Data Input'!$B$2="Storm event",5,IF('Data Input'!$B$2="Disease outbreak",10,IF('Data Input'!$B$2="Woodland Carbon Code monitoring",0)))</f>
        <v>0</v>
      </c>
      <c r="D14" s="144" t="b">
        <f>IF('Data Input'!$B$2="Storm event",0.25,IF('Data Input'!$B$2="Disease outbreak",0.125,IF('Data Input'!$B$2="Woodland Carbon Code monitoring",1)))</f>
        <v>0</v>
      </c>
    </row>
    <row r="16" spans="1:7" ht="17" thickBot="1" x14ac:dyDescent="0.25"/>
    <row r="17" spans="1:4" ht="17" thickBot="1" x14ac:dyDescent="0.25">
      <c r="A17" s="145" t="s">
        <v>105</v>
      </c>
      <c r="B17" s="146" t="s">
        <v>106</v>
      </c>
      <c r="C17" s="139"/>
      <c r="D17" s="147"/>
    </row>
    <row r="18" spans="1:4" ht="32" x14ac:dyDescent="0.2">
      <c r="A18" s="148" t="s">
        <v>107</v>
      </c>
      <c r="B18" s="385">
        <f>IF('Data Input'!B5="Yes",'Data Input'!B6,0)</f>
        <v>0</v>
      </c>
      <c r="C18" s="386" t="str">
        <f>IF('Data Input'!B5="Yes",'Data Input'!C6,"total £")</f>
        <v>total £</v>
      </c>
      <c r="D18" s="147"/>
    </row>
    <row r="19" spans="1:4" x14ac:dyDescent="0.2">
      <c r="A19" s="148" t="s">
        <v>88</v>
      </c>
      <c r="B19" s="387">
        <f>VLOOKUP('Data Input'!B7,Dropdowns!$A$26:$B$30,2,FALSE)</f>
        <v>5</v>
      </c>
      <c r="C19" s="362"/>
    </row>
    <row r="20" spans="1:4" x14ac:dyDescent="0.2">
      <c r="A20" s="148" t="s">
        <v>89</v>
      </c>
      <c r="B20" s="388">
        <f>VLOOKUP('Data Input'!B8,Dropdowns!$D$26:$E$30,2,FALSE)</f>
        <v>0.5</v>
      </c>
      <c r="C20" s="362"/>
    </row>
    <row r="21" spans="1:4" ht="32" x14ac:dyDescent="0.2">
      <c r="A21" s="148" t="s">
        <v>193</v>
      </c>
      <c r="B21" s="387">
        <f>'Data Input'!B12</f>
        <v>0</v>
      </c>
      <c r="C21" s="362" t="str">
        <f>'Data Input'!C12</f>
        <v>km2</v>
      </c>
    </row>
    <row r="22" spans="1:4" ht="33" thickBot="1" x14ac:dyDescent="0.25">
      <c r="A22" s="149" t="s">
        <v>184</v>
      </c>
      <c r="B22" s="389">
        <f>IF(B10="One Continuous Block",B21,'Data Input'!B13)</f>
        <v>0</v>
      </c>
      <c r="C22" s="366" t="str">
        <f>IF(B10="One Continuous Block",C21,'Data Input'!C13)</f>
        <v>km2</v>
      </c>
    </row>
    <row r="23" spans="1:4" ht="17" thickBot="1" x14ac:dyDescent="0.25">
      <c r="A23" s="145" t="s">
        <v>191</v>
      </c>
      <c r="B23" s="150">
        <f>IF(C21="Hectares",B21,B21*100)</f>
        <v>0</v>
      </c>
    </row>
    <row r="24" spans="1:4" ht="17" thickBot="1" x14ac:dyDescent="0.25">
      <c r="A24" s="145" t="s">
        <v>192</v>
      </c>
      <c r="B24" s="151">
        <f>IF(C22="Hectares",B22,B22*100)</f>
        <v>0</v>
      </c>
    </row>
    <row r="25" spans="1:4" ht="17" thickBot="1" x14ac:dyDescent="0.25"/>
    <row r="26" spans="1:4" ht="17" thickBot="1" x14ac:dyDescent="0.25">
      <c r="A26" s="152" t="s">
        <v>116</v>
      </c>
      <c r="B26" s="153"/>
    </row>
    <row r="27" spans="1:4" x14ac:dyDescent="0.2">
      <c r="A27" s="154" t="s">
        <v>189</v>
      </c>
      <c r="B27" s="153"/>
    </row>
    <row r="28" spans="1:4" x14ac:dyDescent="0.2">
      <c r="A28" s="155" t="s">
        <v>108</v>
      </c>
      <c r="B28" s="153"/>
    </row>
    <row r="29" spans="1:4" x14ac:dyDescent="0.2">
      <c r="A29" s="155" t="s">
        <v>109</v>
      </c>
      <c r="B29" s="153"/>
    </row>
    <row r="30" spans="1:4" ht="17" thickBot="1" x14ac:dyDescent="0.25">
      <c r="A30" s="156" t="s">
        <v>110</v>
      </c>
      <c r="B30" s="153"/>
    </row>
    <row r="31" spans="1:4" x14ac:dyDescent="0.2">
      <c r="B31" s="153"/>
    </row>
    <row r="32" spans="1:4" x14ac:dyDescent="0.2">
      <c r="B32" s="153"/>
    </row>
    <row r="33" spans="2:2" x14ac:dyDescent="0.2">
      <c r="B33" s="153"/>
    </row>
    <row r="34" spans="2:2" x14ac:dyDescent="0.2">
      <c r="B34" s="15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V161"/>
  <sheetViews>
    <sheetView workbookViewId="0">
      <pane ySplit="1" topLeftCell="A2" activePane="bottomLeft" state="frozen"/>
      <selection pane="bottomLeft" activeCell="C25" sqref="C25"/>
    </sheetView>
  </sheetViews>
  <sheetFormatPr baseColWidth="10" defaultRowHeight="16" x14ac:dyDescent="0.2"/>
  <cols>
    <col min="1" max="1" width="29.33203125" style="215" bestFit="1" customWidth="1"/>
    <col min="2" max="2" width="29.33203125" style="187" bestFit="1" customWidth="1"/>
    <col min="3" max="3" width="13.6640625" style="187" bestFit="1" customWidth="1"/>
    <col min="4" max="4" width="14.6640625" style="147" bestFit="1" customWidth="1"/>
    <col min="5" max="5" width="14.33203125" style="147" bestFit="1" customWidth="1"/>
    <col min="6" max="6" width="12.5" style="147" customWidth="1"/>
    <col min="7" max="7" width="12.5" style="187" bestFit="1" customWidth="1"/>
    <col min="8" max="8" width="10.1640625" style="187" bestFit="1" customWidth="1"/>
    <col min="9" max="9" width="13.1640625" style="187" bestFit="1" customWidth="1"/>
    <col min="10" max="10" width="12.83203125" style="187" bestFit="1" customWidth="1"/>
    <col min="11" max="11" width="11.6640625" style="187" customWidth="1"/>
    <col min="12" max="12" width="15.83203125" style="187" bestFit="1" customWidth="1"/>
    <col min="13" max="13" width="15.6640625" style="187" customWidth="1"/>
    <col min="14" max="14" width="14.5" style="187" bestFit="1" customWidth="1"/>
    <col min="15" max="15" width="13.83203125" style="187" bestFit="1" customWidth="1"/>
    <col min="16" max="16" width="12.83203125" style="187" bestFit="1" customWidth="1"/>
    <col min="17" max="17" width="11.6640625" style="187" customWidth="1"/>
    <col min="18" max="18" width="11.5" style="187" customWidth="1"/>
    <col min="19" max="19" width="12.83203125" style="187" bestFit="1" customWidth="1"/>
    <col min="20" max="21" width="12.1640625" style="187" customWidth="1"/>
    <col min="22" max="22" width="16.83203125" style="187" customWidth="1"/>
    <col min="23" max="23" width="15.33203125" style="187" bestFit="1" customWidth="1"/>
    <col min="24" max="24" width="15.1640625" style="187" customWidth="1"/>
    <col min="25" max="25" width="12" style="187" bestFit="1" customWidth="1"/>
    <col min="26" max="26" width="9.6640625" style="187" bestFit="1" customWidth="1"/>
    <col min="27" max="34" width="10.83203125" style="187"/>
    <col min="35" max="35" width="12.6640625" style="187" bestFit="1" customWidth="1"/>
    <col min="36" max="40" width="10.83203125" style="187"/>
    <col min="41" max="41" width="15.1640625" style="187" bestFit="1" customWidth="1"/>
    <col min="42" max="43" width="15" style="187" customWidth="1"/>
    <col min="44" max="16384" width="10.83203125" style="187"/>
  </cols>
  <sheetData>
    <row r="1" spans="1:48" s="179" customFormat="1" ht="49" thickBot="1" x14ac:dyDescent="0.25">
      <c r="A1" s="174" t="s">
        <v>9</v>
      </c>
      <c r="B1" s="175" t="s">
        <v>0</v>
      </c>
      <c r="C1" s="176" t="s">
        <v>66</v>
      </c>
      <c r="D1" s="175" t="s">
        <v>67</v>
      </c>
      <c r="E1" s="175" t="s">
        <v>70</v>
      </c>
      <c r="F1" s="175" t="s">
        <v>71</v>
      </c>
      <c r="G1" s="177" t="s">
        <v>73</v>
      </c>
      <c r="H1" s="174" t="s">
        <v>51</v>
      </c>
      <c r="I1" s="175" t="s">
        <v>52</v>
      </c>
      <c r="J1" s="175" t="s">
        <v>161</v>
      </c>
      <c r="K1" s="175" t="s">
        <v>53</v>
      </c>
      <c r="L1" s="175" t="s">
        <v>55</v>
      </c>
      <c r="M1" s="175" t="s">
        <v>162</v>
      </c>
      <c r="N1" s="175" t="s">
        <v>54</v>
      </c>
      <c r="O1" s="175" t="s">
        <v>56</v>
      </c>
      <c r="P1" s="175" t="s">
        <v>163</v>
      </c>
      <c r="Q1" s="175" t="s">
        <v>57</v>
      </c>
      <c r="R1" s="175" t="s">
        <v>58</v>
      </c>
      <c r="S1" s="175" t="s">
        <v>164</v>
      </c>
      <c r="T1" s="175" t="s">
        <v>59</v>
      </c>
      <c r="U1" s="175" t="s">
        <v>60</v>
      </c>
      <c r="V1" s="175" t="s">
        <v>219</v>
      </c>
      <c r="W1" s="175" t="s">
        <v>61</v>
      </c>
      <c r="X1" s="175" t="s">
        <v>165</v>
      </c>
      <c r="Y1" s="176" t="s">
        <v>62</v>
      </c>
      <c r="Z1" s="178"/>
      <c r="AA1" s="174" t="s">
        <v>51</v>
      </c>
      <c r="AB1" s="175" t="s">
        <v>52</v>
      </c>
      <c r="AC1" s="175" t="s">
        <v>161</v>
      </c>
      <c r="AD1" s="175" t="s">
        <v>53</v>
      </c>
      <c r="AE1" s="175" t="s">
        <v>55</v>
      </c>
      <c r="AF1" s="175" t="s">
        <v>162</v>
      </c>
      <c r="AG1" s="175" t="s">
        <v>54</v>
      </c>
      <c r="AH1" s="175" t="s">
        <v>56</v>
      </c>
      <c r="AI1" s="175" t="s">
        <v>163</v>
      </c>
      <c r="AJ1" s="175" t="s">
        <v>57</v>
      </c>
      <c r="AK1" s="175" t="s">
        <v>58</v>
      </c>
      <c r="AL1" s="175" t="s">
        <v>164</v>
      </c>
      <c r="AM1" s="175" t="s">
        <v>59</v>
      </c>
      <c r="AN1" s="175" t="s">
        <v>60</v>
      </c>
      <c r="AO1" s="175" t="s">
        <v>219</v>
      </c>
      <c r="AP1" s="175" t="s">
        <v>61</v>
      </c>
      <c r="AQ1" s="175" t="s">
        <v>165</v>
      </c>
      <c r="AR1" s="176" t="s">
        <v>62</v>
      </c>
    </row>
    <row r="2" spans="1:48" ht="17" thickBot="1" x14ac:dyDescent="0.25">
      <c r="A2" s="180"/>
      <c r="B2" s="181" t="s">
        <v>189</v>
      </c>
      <c r="C2" s="182"/>
      <c r="D2" s="183"/>
      <c r="E2" s="183"/>
      <c r="F2" s="183"/>
      <c r="G2" s="184"/>
      <c r="H2" s="185"/>
      <c r="I2" s="183"/>
      <c r="J2" s="183"/>
      <c r="K2" s="183"/>
      <c r="L2" s="183"/>
      <c r="M2" s="183"/>
      <c r="N2" s="183"/>
      <c r="O2" s="183"/>
      <c r="P2" s="183"/>
      <c r="Q2" s="183"/>
      <c r="R2" s="183"/>
      <c r="S2" s="183"/>
      <c r="T2" s="183"/>
      <c r="U2" s="183"/>
      <c r="V2" s="183"/>
      <c r="W2" s="183"/>
      <c r="X2" s="183"/>
      <c r="Y2" s="186"/>
      <c r="Z2" s="183"/>
      <c r="AA2" s="185"/>
      <c r="AB2" s="183"/>
      <c r="AC2" s="183"/>
      <c r="AD2" s="183"/>
      <c r="AE2" s="183"/>
      <c r="AF2" s="183"/>
      <c r="AG2" s="183"/>
      <c r="AH2" s="183"/>
      <c r="AI2" s="183"/>
      <c r="AJ2" s="183"/>
      <c r="AK2" s="183"/>
      <c r="AL2" s="183"/>
      <c r="AM2" s="183"/>
      <c r="AN2" s="183"/>
      <c r="AO2" s="183"/>
      <c r="AP2" s="183"/>
      <c r="AQ2" s="183"/>
      <c r="AR2" s="186"/>
      <c r="AS2" s="147"/>
      <c r="AT2" s="147"/>
      <c r="AU2" s="147"/>
      <c r="AV2" s="147"/>
    </row>
    <row r="3" spans="1:48" x14ac:dyDescent="0.2">
      <c r="A3" s="188" t="s">
        <v>2</v>
      </c>
      <c r="B3" s="157" t="s">
        <v>18</v>
      </c>
      <c r="C3" s="189">
        <v>0</v>
      </c>
      <c r="D3" s="190">
        <f>IF($C$109=0,1,0)</f>
        <v>0</v>
      </c>
      <c r="E3" s="191">
        <f t="shared" ref="E3:E11" si="0">IF(AND(NOT(C$109=C3),OR(E$109=10,C$109=0)),0,1)</f>
        <v>1</v>
      </c>
      <c r="F3" s="190">
        <v>0</v>
      </c>
      <c r="G3" s="192">
        <f t="shared" ref="G3:G11" si="1">F3*D$109*E3</f>
        <v>0</v>
      </c>
      <c r="H3" s="193">
        <v>0</v>
      </c>
      <c r="I3" s="194">
        <v>0</v>
      </c>
      <c r="J3" s="194">
        <v>0</v>
      </c>
      <c r="K3" s="194">
        <v>0</v>
      </c>
      <c r="L3" s="194">
        <v>0</v>
      </c>
      <c r="M3" s="194">
        <v>0</v>
      </c>
      <c r="N3" s="194">
        <v>0</v>
      </c>
      <c r="O3" s="194">
        <v>0</v>
      </c>
      <c r="P3" s="194">
        <v>0</v>
      </c>
      <c r="Q3" s="194">
        <v>0</v>
      </c>
      <c r="R3" s="194">
        <v>0</v>
      </c>
      <c r="S3" s="194">
        <v>0</v>
      </c>
      <c r="T3" s="194">
        <v>0</v>
      </c>
      <c r="U3" s="194">
        <v>0</v>
      </c>
      <c r="V3" s="194">
        <v>0</v>
      </c>
      <c r="W3" s="194">
        <v>0</v>
      </c>
      <c r="X3" s="194">
        <v>0</v>
      </c>
      <c r="Y3" s="195">
        <v>0</v>
      </c>
      <c r="Z3" s="183"/>
      <c r="AA3" s="193" t="str">
        <f t="shared" ref="AA3:AA11" si="2">IF($G3=0,"",ROUND(H3*$G3,2))</f>
        <v/>
      </c>
      <c r="AB3" s="194" t="str">
        <f t="shared" ref="AB3:AB11" si="3">IF($G3=0,"",ROUND(I3*$G3,2))</f>
        <v/>
      </c>
      <c r="AC3" s="194" t="str">
        <f t="shared" ref="AC3:AC11" si="4">IF($G3=0,"",ROUND(J3*$G3,2))</f>
        <v/>
      </c>
      <c r="AD3" s="194" t="str">
        <f t="shared" ref="AD3:AD11" si="5">IF($G3=0,"",ROUND(K3*$G3,2))</f>
        <v/>
      </c>
      <c r="AE3" s="194" t="str">
        <f t="shared" ref="AE3:AE11" si="6">IF($G3=0,"",ROUND(L3*$G3,2))</f>
        <v/>
      </c>
      <c r="AF3" s="194" t="str">
        <f t="shared" ref="AF3:AF11" si="7">IF($G3=0,"",ROUND(M3*$G3,2))</f>
        <v/>
      </c>
      <c r="AG3" s="194" t="str">
        <f t="shared" ref="AG3:AG11" si="8">IF($G3=0,"",ROUND(N3*$G3,2))</f>
        <v/>
      </c>
      <c r="AH3" s="194" t="str">
        <f t="shared" ref="AH3:AH11" si="9">IF($G3=0,"",ROUND(O3*$G3,2))</f>
        <v/>
      </c>
      <c r="AI3" s="194" t="str">
        <f t="shared" ref="AI3:AI11" si="10">IF($G3=0,"",ROUND(P3*$G3,2))</f>
        <v/>
      </c>
      <c r="AJ3" s="194" t="str">
        <f t="shared" ref="AJ3:AJ11" si="11">IF($G3=0,"",ROUND(Q3*$G3,2))</f>
        <v/>
      </c>
      <c r="AK3" s="194" t="str">
        <f t="shared" ref="AK3:AK11" si="12">IF($G3=0,"",ROUND(R3*$G3,2))</f>
        <v/>
      </c>
      <c r="AL3" s="194" t="str">
        <f t="shared" ref="AL3:AL11" si="13">IF($G3=0,"",ROUND(S3*$G3,2))</f>
        <v/>
      </c>
      <c r="AM3" s="194" t="str">
        <f t="shared" ref="AM3:AM11" si="14">IF($G3=0,"",ROUND(T3*$G3,2))</f>
        <v/>
      </c>
      <c r="AN3" s="194" t="str">
        <f t="shared" ref="AN3:AN11" si="15">IF($G3=0,"",ROUND(U3*$G3,2))</f>
        <v/>
      </c>
      <c r="AO3" s="194" t="str">
        <f t="shared" ref="AO3:AO11" si="16">IF($G3=0,"",ROUND(V3*$G3,2))</f>
        <v/>
      </c>
      <c r="AP3" s="194" t="str">
        <f t="shared" ref="AP3:AP11" si="17">IF($G3=0,"",ROUND(W3*$G3,2))</f>
        <v/>
      </c>
      <c r="AQ3" s="194" t="str">
        <f t="shared" ref="AQ3:AQ11" si="18">IF($G3=0,"",ROUND(X3*$G3,2))</f>
        <v/>
      </c>
      <c r="AR3" s="195" t="str">
        <f t="shared" ref="AR3:AR11" si="19">IF($G3=0,"",ROUND(Y3*$G3,2))</f>
        <v/>
      </c>
      <c r="AS3" s="147"/>
      <c r="AT3" s="147"/>
      <c r="AU3" s="147"/>
      <c r="AV3" s="147"/>
    </row>
    <row r="4" spans="1:48" x14ac:dyDescent="0.2">
      <c r="A4" s="196"/>
      <c r="B4" s="7" t="s">
        <v>10</v>
      </c>
      <c r="C4" s="197">
        <v>1</v>
      </c>
      <c r="D4" s="198">
        <f t="shared" ref="D4:D11" si="20">IF($C$109=0,0,ROUND(NORMDIST($C4,$C$109,((10-($E$109-1))/(COUNT(C$4:C$11)/2)),FALSE),2))</f>
        <v>0.01</v>
      </c>
      <c r="E4" s="199">
        <f t="shared" si="0"/>
        <v>1</v>
      </c>
      <c r="F4" s="198">
        <f t="shared" ref="F4:F11" si="21">IF(NOT($C$109=0),ROUND($D4/MAX(D$4:D$11),2),0)</f>
        <v>0.04</v>
      </c>
      <c r="G4" s="200">
        <f t="shared" si="1"/>
        <v>0.2</v>
      </c>
      <c r="H4" s="201">
        <v>0</v>
      </c>
      <c r="I4" s="1">
        <v>0</v>
      </c>
      <c r="J4" s="1">
        <v>0</v>
      </c>
      <c r="K4" s="1">
        <v>0</v>
      </c>
      <c r="L4" s="1">
        <v>0</v>
      </c>
      <c r="M4" s="1">
        <v>0</v>
      </c>
      <c r="N4" s="1">
        <v>0</v>
      </c>
      <c r="O4" s="1">
        <v>0</v>
      </c>
      <c r="P4" s="1">
        <v>0</v>
      </c>
      <c r="Q4" s="1">
        <v>0</v>
      </c>
      <c r="R4" s="1">
        <v>0</v>
      </c>
      <c r="S4" s="1">
        <v>0</v>
      </c>
      <c r="T4" s="1">
        <v>0</v>
      </c>
      <c r="U4" s="1">
        <v>0</v>
      </c>
      <c r="V4" s="1">
        <v>0.25</v>
      </c>
      <c r="W4" s="1">
        <v>0.25</v>
      </c>
      <c r="X4" s="1">
        <v>0.25</v>
      </c>
      <c r="Y4" s="202">
        <v>0.125</v>
      </c>
      <c r="Z4" s="203"/>
      <c r="AA4" s="201">
        <f t="shared" si="2"/>
        <v>0</v>
      </c>
      <c r="AB4" s="1">
        <f t="shared" si="3"/>
        <v>0</v>
      </c>
      <c r="AC4" s="1">
        <f t="shared" si="4"/>
        <v>0</v>
      </c>
      <c r="AD4" s="1">
        <f t="shared" si="5"/>
        <v>0</v>
      </c>
      <c r="AE4" s="1">
        <f t="shared" si="6"/>
        <v>0</v>
      </c>
      <c r="AF4" s="1">
        <f t="shared" si="7"/>
        <v>0</v>
      </c>
      <c r="AG4" s="1">
        <f t="shared" si="8"/>
        <v>0</v>
      </c>
      <c r="AH4" s="1">
        <f t="shared" si="9"/>
        <v>0</v>
      </c>
      <c r="AI4" s="1">
        <f t="shared" si="10"/>
        <v>0</v>
      </c>
      <c r="AJ4" s="1">
        <f t="shared" si="11"/>
        <v>0</v>
      </c>
      <c r="AK4" s="1">
        <f t="shared" si="12"/>
        <v>0</v>
      </c>
      <c r="AL4" s="1">
        <f t="shared" si="13"/>
        <v>0</v>
      </c>
      <c r="AM4" s="1">
        <f t="shared" si="14"/>
        <v>0</v>
      </c>
      <c r="AN4" s="1">
        <f t="shared" si="15"/>
        <v>0</v>
      </c>
      <c r="AO4" s="1">
        <f t="shared" si="16"/>
        <v>0.05</v>
      </c>
      <c r="AP4" s="1">
        <f t="shared" si="17"/>
        <v>0.05</v>
      </c>
      <c r="AQ4" s="1">
        <f t="shared" si="18"/>
        <v>0.05</v>
      </c>
      <c r="AR4" s="202">
        <f t="shared" si="19"/>
        <v>0.03</v>
      </c>
      <c r="AS4" s="147"/>
      <c r="AT4" s="147"/>
      <c r="AU4" s="147"/>
      <c r="AV4" s="147"/>
    </row>
    <row r="5" spans="1:48" x14ac:dyDescent="0.2">
      <c r="A5" s="196"/>
      <c r="B5" s="7" t="s">
        <v>11</v>
      </c>
      <c r="C5" s="197">
        <v>2</v>
      </c>
      <c r="D5" s="198">
        <f t="shared" si="20"/>
        <v>0.04</v>
      </c>
      <c r="E5" s="199">
        <f t="shared" si="0"/>
        <v>1</v>
      </c>
      <c r="F5" s="198">
        <f t="shared" si="21"/>
        <v>0.15</v>
      </c>
      <c r="G5" s="200">
        <f t="shared" si="1"/>
        <v>0.75</v>
      </c>
      <c r="H5" s="201">
        <v>0</v>
      </c>
      <c r="I5" s="1">
        <v>0</v>
      </c>
      <c r="J5" s="1">
        <v>0</v>
      </c>
      <c r="K5" s="1">
        <v>0</v>
      </c>
      <c r="L5" s="1">
        <v>0</v>
      </c>
      <c r="M5" s="1">
        <v>0</v>
      </c>
      <c r="N5" s="1">
        <v>0</v>
      </c>
      <c r="O5" s="1">
        <v>0</v>
      </c>
      <c r="P5" s="1">
        <v>0</v>
      </c>
      <c r="Q5" s="1">
        <v>0</v>
      </c>
      <c r="R5" s="1">
        <v>0</v>
      </c>
      <c r="S5" s="1">
        <v>0</v>
      </c>
      <c r="T5" s="1">
        <v>0</v>
      </c>
      <c r="U5" s="1">
        <v>0</v>
      </c>
      <c r="V5" s="1">
        <v>0.5</v>
      </c>
      <c r="W5" s="1">
        <v>0.5</v>
      </c>
      <c r="X5" s="1">
        <v>0.5</v>
      </c>
      <c r="Y5" s="202">
        <v>0.25</v>
      </c>
      <c r="Z5" s="203"/>
      <c r="AA5" s="201">
        <f t="shared" si="2"/>
        <v>0</v>
      </c>
      <c r="AB5" s="1">
        <f t="shared" si="3"/>
        <v>0</v>
      </c>
      <c r="AC5" s="1">
        <f t="shared" si="4"/>
        <v>0</v>
      </c>
      <c r="AD5" s="1">
        <f t="shared" si="5"/>
        <v>0</v>
      </c>
      <c r="AE5" s="1">
        <f t="shared" si="6"/>
        <v>0</v>
      </c>
      <c r="AF5" s="1">
        <f t="shared" si="7"/>
        <v>0</v>
      </c>
      <c r="AG5" s="1">
        <f t="shared" si="8"/>
        <v>0</v>
      </c>
      <c r="AH5" s="1">
        <f t="shared" si="9"/>
        <v>0</v>
      </c>
      <c r="AI5" s="1">
        <f t="shared" si="10"/>
        <v>0</v>
      </c>
      <c r="AJ5" s="1">
        <f t="shared" si="11"/>
        <v>0</v>
      </c>
      <c r="AK5" s="1">
        <f t="shared" si="12"/>
        <v>0</v>
      </c>
      <c r="AL5" s="1">
        <f t="shared" si="13"/>
        <v>0</v>
      </c>
      <c r="AM5" s="1">
        <f t="shared" si="14"/>
        <v>0</v>
      </c>
      <c r="AN5" s="1">
        <f t="shared" si="15"/>
        <v>0</v>
      </c>
      <c r="AO5" s="1">
        <f t="shared" si="16"/>
        <v>0.38</v>
      </c>
      <c r="AP5" s="1">
        <f t="shared" si="17"/>
        <v>0.38</v>
      </c>
      <c r="AQ5" s="1">
        <f t="shared" si="18"/>
        <v>0.38</v>
      </c>
      <c r="AR5" s="202">
        <f t="shared" si="19"/>
        <v>0.19</v>
      </c>
      <c r="AS5" s="147"/>
      <c r="AT5" s="147"/>
      <c r="AU5" s="147"/>
      <c r="AV5" s="147"/>
    </row>
    <row r="6" spans="1:48" x14ac:dyDescent="0.2">
      <c r="A6" s="196"/>
      <c r="B6" s="7" t="s">
        <v>12</v>
      </c>
      <c r="C6" s="197">
        <v>3</v>
      </c>
      <c r="D6" s="198">
        <f t="shared" si="20"/>
        <v>0.11</v>
      </c>
      <c r="E6" s="199">
        <f t="shared" si="0"/>
        <v>1</v>
      </c>
      <c r="F6" s="198">
        <f t="shared" si="21"/>
        <v>0.41</v>
      </c>
      <c r="G6" s="200">
        <f t="shared" si="1"/>
        <v>2.0499999999999998</v>
      </c>
      <c r="H6" s="201">
        <v>0</v>
      </c>
      <c r="I6" s="1">
        <v>0</v>
      </c>
      <c r="J6" s="1">
        <v>0</v>
      </c>
      <c r="K6" s="1">
        <v>0</v>
      </c>
      <c r="L6" s="1">
        <v>0</v>
      </c>
      <c r="M6" s="1">
        <v>0</v>
      </c>
      <c r="N6" s="1">
        <v>0</v>
      </c>
      <c r="O6" s="1">
        <v>0</v>
      </c>
      <c r="P6" s="1">
        <v>0</v>
      </c>
      <c r="Q6" s="1">
        <v>0</v>
      </c>
      <c r="R6" s="1">
        <v>0</v>
      </c>
      <c r="S6" s="1">
        <v>0</v>
      </c>
      <c r="T6" s="1">
        <v>0</v>
      </c>
      <c r="U6" s="1">
        <v>0</v>
      </c>
      <c r="V6" s="1">
        <v>1</v>
      </c>
      <c r="W6" s="1">
        <v>1</v>
      </c>
      <c r="X6" s="1">
        <v>1</v>
      </c>
      <c r="Y6" s="202">
        <v>0.5</v>
      </c>
      <c r="Z6" s="203"/>
      <c r="AA6" s="201">
        <f t="shared" si="2"/>
        <v>0</v>
      </c>
      <c r="AB6" s="1">
        <f t="shared" si="3"/>
        <v>0</v>
      </c>
      <c r="AC6" s="1">
        <f t="shared" si="4"/>
        <v>0</v>
      </c>
      <c r="AD6" s="1">
        <f t="shared" si="5"/>
        <v>0</v>
      </c>
      <c r="AE6" s="1">
        <f t="shared" si="6"/>
        <v>0</v>
      </c>
      <c r="AF6" s="1">
        <f t="shared" si="7"/>
        <v>0</v>
      </c>
      <c r="AG6" s="1">
        <f t="shared" si="8"/>
        <v>0</v>
      </c>
      <c r="AH6" s="1">
        <f t="shared" si="9"/>
        <v>0</v>
      </c>
      <c r="AI6" s="1">
        <f t="shared" si="10"/>
        <v>0</v>
      </c>
      <c r="AJ6" s="1">
        <f t="shared" si="11"/>
        <v>0</v>
      </c>
      <c r="AK6" s="1">
        <f t="shared" si="12"/>
        <v>0</v>
      </c>
      <c r="AL6" s="1">
        <f t="shared" si="13"/>
        <v>0</v>
      </c>
      <c r="AM6" s="1">
        <f t="shared" si="14"/>
        <v>0</v>
      </c>
      <c r="AN6" s="1">
        <f t="shared" si="15"/>
        <v>0</v>
      </c>
      <c r="AO6" s="1">
        <f t="shared" si="16"/>
        <v>2.0499999999999998</v>
      </c>
      <c r="AP6" s="1">
        <f t="shared" si="17"/>
        <v>2.0499999999999998</v>
      </c>
      <c r="AQ6" s="1">
        <f t="shared" si="18"/>
        <v>2.0499999999999998</v>
      </c>
      <c r="AR6" s="202">
        <f t="shared" si="19"/>
        <v>1.03</v>
      </c>
      <c r="AS6" s="147"/>
      <c r="AT6" s="147"/>
      <c r="AU6" s="147"/>
      <c r="AV6" s="147"/>
    </row>
    <row r="7" spans="1:48" x14ac:dyDescent="0.2">
      <c r="A7" s="196"/>
      <c r="B7" s="7" t="s">
        <v>13</v>
      </c>
      <c r="C7" s="197">
        <v>4</v>
      </c>
      <c r="D7" s="198">
        <f t="shared" si="20"/>
        <v>0.21</v>
      </c>
      <c r="E7" s="199">
        <f t="shared" si="0"/>
        <v>1</v>
      </c>
      <c r="F7" s="198">
        <f t="shared" si="21"/>
        <v>0.78</v>
      </c>
      <c r="G7" s="200">
        <f t="shared" si="1"/>
        <v>3.9000000000000004</v>
      </c>
      <c r="H7" s="201">
        <v>0</v>
      </c>
      <c r="I7" s="1">
        <v>0</v>
      </c>
      <c r="J7" s="1">
        <v>0</v>
      </c>
      <c r="K7" s="1">
        <v>0</v>
      </c>
      <c r="L7" s="1">
        <v>0</v>
      </c>
      <c r="M7" s="1">
        <v>0</v>
      </c>
      <c r="N7" s="1">
        <v>0</v>
      </c>
      <c r="O7" s="1">
        <v>0</v>
      </c>
      <c r="P7" s="1">
        <v>0</v>
      </c>
      <c r="Q7" s="1">
        <v>0</v>
      </c>
      <c r="R7" s="1">
        <v>0</v>
      </c>
      <c r="S7" s="1">
        <v>0</v>
      </c>
      <c r="T7" s="1">
        <v>0</v>
      </c>
      <c r="U7" s="1">
        <v>0</v>
      </c>
      <c r="V7" s="1">
        <v>1</v>
      </c>
      <c r="W7" s="1">
        <v>1</v>
      </c>
      <c r="X7" s="1">
        <v>1</v>
      </c>
      <c r="Y7" s="202">
        <v>1</v>
      </c>
      <c r="Z7" s="203"/>
      <c r="AA7" s="201">
        <f t="shared" si="2"/>
        <v>0</v>
      </c>
      <c r="AB7" s="1">
        <f t="shared" si="3"/>
        <v>0</v>
      </c>
      <c r="AC7" s="1">
        <f t="shared" si="4"/>
        <v>0</v>
      </c>
      <c r="AD7" s="1">
        <f t="shared" si="5"/>
        <v>0</v>
      </c>
      <c r="AE7" s="1">
        <f t="shared" si="6"/>
        <v>0</v>
      </c>
      <c r="AF7" s="1">
        <f t="shared" si="7"/>
        <v>0</v>
      </c>
      <c r="AG7" s="1">
        <f t="shared" si="8"/>
        <v>0</v>
      </c>
      <c r="AH7" s="1">
        <f t="shared" si="9"/>
        <v>0</v>
      </c>
      <c r="AI7" s="1">
        <f t="shared" si="10"/>
        <v>0</v>
      </c>
      <c r="AJ7" s="1">
        <f t="shared" si="11"/>
        <v>0</v>
      </c>
      <c r="AK7" s="1">
        <f t="shared" si="12"/>
        <v>0</v>
      </c>
      <c r="AL7" s="1">
        <f t="shared" si="13"/>
        <v>0</v>
      </c>
      <c r="AM7" s="1">
        <f t="shared" si="14"/>
        <v>0</v>
      </c>
      <c r="AN7" s="1">
        <f t="shared" si="15"/>
        <v>0</v>
      </c>
      <c r="AO7" s="1">
        <f t="shared" si="16"/>
        <v>3.9</v>
      </c>
      <c r="AP7" s="1">
        <f t="shared" si="17"/>
        <v>3.9</v>
      </c>
      <c r="AQ7" s="1">
        <f t="shared" si="18"/>
        <v>3.9</v>
      </c>
      <c r="AR7" s="202">
        <f t="shared" si="19"/>
        <v>3.9</v>
      </c>
      <c r="AS7" s="147"/>
      <c r="AT7" s="147"/>
      <c r="AU7" s="147"/>
      <c r="AV7" s="147"/>
    </row>
    <row r="8" spans="1:48" x14ac:dyDescent="0.2">
      <c r="A8" s="196"/>
      <c r="B8" s="7" t="s">
        <v>14</v>
      </c>
      <c r="C8" s="197">
        <v>5</v>
      </c>
      <c r="D8" s="198">
        <f t="shared" si="20"/>
        <v>0.27</v>
      </c>
      <c r="E8" s="199">
        <f t="shared" si="0"/>
        <v>1</v>
      </c>
      <c r="F8" s="198">
        <f t="shared" si="21"/>
        <v>1</v>
      </c>
      <c r="G8" s="200">
        <f t="shared" si="1"/>
        <v>5</v>
      </c>
      <c r="H8" s="201">
        <v>0</v>
      </c>
      <c r="I8" s="1">
        <v>0</v>
      </c>
      <c r="J8" s="1">
        <v>0</v>
      </c>
      <c r="K8" s="1">
        <v>0</v>
      </c>
      <c r="L8" s="1">
        <v>0</v>
      </c>
      <c r="M8" s="1">
        <v>0</v>
      </c>
      <c r="N8" s="1">
        <v>0</v>
      </c>
      <c r="O8" s="1">
        <v>0</v>
      </c>
      <c r="P8" s="1">
        <v>0</v>
      </c>
      <c r="Q8" s="1">
        <v>0</v>
      </c>
      <c r="R8" s="1">
        <v>0</v>
      </c>
      <c r="S8" s="1">
        <v>0</v>
      </c>
      <c r="T8" s="1">
        <v>0</v>
      </c>
      <c r="U8" s="1">
        <v>0</v>
      </c>
      <c r="V8" s="1">
        <v>1</v>
      </c>
      <c r="W8" s="1">
        <v>1</v>
      </c>
      <c r="X8" s="1">
        <v>1</v>
      </c>
      <c r="Y8" s="202">
        <v>1</v>
      </c>
      <c r="Z8" s="203"/>
      <c r="AA8" s="201">
        <f t="shared" si="2"/>
        <v>0</v>
      </c>
      <c r="AB8" s="1">
        <f t="shared" si="3"/>
        <v>0</v>
      </c>
      <c r="AC8" s="1">
        <f t="shared" si="4"/>
        <v>0</v>
      </c>
      <c r="AD8" s="1">
        <f t="shared" si="5"/>
        <v>0</v>
      </c>
      <c r="AE8" s="1">
        <f t="shared" si="6"/>
        <v>0</v>
      </c>
      <c r="AF8" s="1">
        <f t="shared" si="7"/>
        <v>0</v>
      </c>
      <c r="AG8" s="1">
        <f t="shared" si="8"/>
        <v>0</v>
      </c>
      <c r="AH8" s="1">
        <f t="shared" si="9"/>
        <v>0</v>
      </c>
      <c r="AI8" s="1">
        <f t="shared" si="10"/>
        <v>0</v>
      </c>
      <c r="AJ8" s="1">
        <f t="shared" si="11"/>
        <v>0</v>
      </c>
      <c r="AK8" s="1">
        <f t="shared" si="12"/>
        <v>0</v>
      </c>
      <c r="AL8" s="1">
        <f t="shared" si="13"/>
        <v>0</v>
      </c>
      <c r="AM8" s="1">
        <f t="shared" si="14"/>
        <v>0</v>
      </c>
      <c r="AN8" s="1">
        <f t="shared" si="15"/>
        <v>0</v>
      </c>
      <c r="AO8" s="1">
        <f t="shared" si="16"/>
        <v>5</v>
      </c>
      <c r="AP8" s="1">
        <f t="shared" si="17"/>
        <v>5</v>
      </c>
      <c r="AQ8" s="1">
        <f t="shared" si="18"/>
        <v>5</v>
      </c>
      <c r="AR8" s="202">
        <f t="shared" si="19"/>
        <v>5</v>
      </c>
      <c r="AS8" s="147"/>
      <c r="AT8" s="147"/>
      <c r="AU8" s="147"/>
      <c r="AV8" s="147"/>
    </row>
    <row r="9" spans="1:48" x14ac:dyDescent="0.2">
      <c r="A9" s="196"/>
      <c r="B9" s="7" t="s">
        <v>15</v>
      </c>
      <c r="C9" s="197">
        <v>6</v>
      </c>
      <c r="D9" s="198">
        <f t="shared" si="20"/>
        <v>0.21</v>
      </c>
      <c r="E9" s="199">
        <f t="shared" si="0"/>
        <v>1</v>
      </c>
      <c r="F9" s="198">
        <f t="shared" si="21"/>
        <v>0.78</v>
      </c>
      <c r="G9" s="200">
        <f t="shared" si="1"/>
        <v>3.9000000000000004</v>
      </c>
      <c r="H9" s="201">
        <v>0</v>
      </c>
      <c r="I9" s="1">
        <v>0</v>
      </c>
      <c r="J9" s="1">
        <v>0</v>
      </c>
      <c r="K9" s="1">
        <v>0</v>
      </c>
      <c r="L9" s="1">
        <v>0</v>
      </c>
      <c r="M9" s="1">
        <v>0</v>
      </c>
      <c r="N9" s="1">
        <v>0</v>
      </c>
      <c r="O9" s="1">
        <v>0</v>
      </c>
      <c r="P9" s="1">
        <v>0</v>
      </c>
      <c r="Q9" s="1">
        <v>0</v>
      </c>
      <c r="R9" s="1">
        <v>0</v>
      </c>
      <c r="S9" s="1">
        <v>0</v>
      </c>
      <c r="T9" s="1">
        <v>0</v>
      </c>
      <c r="U9" s="1">
        <v>0</v>
      </c>
      <c r="V9" s="1">
        <v>1</v>
      </c>
      <c r="W9" s="1">
        <v>1</v>
      </c>
      <c r="X9" s="1">
        <v>1</v>
      </c>
      <c r="Y9" s="202">
        <v>1</v>
      </c>
      <c r="Z9" s="203"/>
      <c r="AA9" s="201">
        <f t="shared" si="2"/>
        <v>0</v>
      </c>
      <c r="AB9" s="1">
        <f t="shared" si="3"/>
        <v>0</v>
      </c>
      <c r="AC9" s="1">
        <f t="shared" si="4"/>
        <v>0</v>
      </c>
      <c r="AD9" s="1">
        <f t="shared" si="5"/>
        <v>0</v>
      </c>
      <c r="AE9" s="1">
        <f t="shared" si="6"/>
        <v>0</v>
      </c>
      <c r="AF9" s="1">
        <f t="shared" si="7"/>
        <v>0</v>
      </c>
      <c r="AG9" s="1">
        <f t="shared" si="8"/>
        <v>0</v>
      </c>
      <c r="AH9" s="1">
        <f t="shared" si="9"/>
        <v>0</v>
      </c>
      <c r="AI9" s="1">
        <f t="shared" si="10"/>
        <v>0</v>
      </c>
      <c r="AJ9" s="1">
        <f t="shared" si="11"/>
        <v>0</v>
      </c>
      <c r="AK9" s="1">
        <f t="shared" si="12"/>
        <v>0</v>
      </c>
      <c r="AL9" s="1">
        <f t="shared" si="13"/>
        <v>0</v>
      </c>
      <c r="AM9" s="1">
        <f t="shared" si="14"/>
        <v>0</v>
      </c>
      <c r="AN9" s="1">
        <f t="shared" si="15"/>
        <v>0</v>
      </c>
      <c r="AO9" s="1">
        <f t="shared" si="16"/>
        <v>3.9</v>
      </c>
      <c r="AP9" s="1">
        <f t="shared" si="17"/>
        <v>3.9</v>
      </c>
      <c r="AQ9" s="1">
        <f t="shared" si="18"/>
        <v>3.9</v>
      </c>
      <c r="AR9" s="202">
        <f t="shared" si="19"/>
        <v>3.9</v>
      </c>
      <c r="AS9" s="147"/>
      <c r="AT9" s="147"/>
      <c r="AU9" s="147"/>
      <c r="AV9" s="147"/>
    </row>
    <row r="10" spans="1:48" x14ac:dyDescent="0.2">
      <c r="A10" s="196"/>
      <c r="B10" s="7" t="s">
        <v>16</v>
      </c>
      <c r="C10" s="197">
        <v>7</v>
      </c>
      <c r="D10" s="198">
        <f t="shared" si="20"/>
        <v>0.11</v>
      </c>
      <c r="E10" s="199">
        <f t="shared" si="0"/>
        <v>1</v>
      </c>
      <c r="F10" s="198">
        <f t="shared" si="21"/>
        <v>0.41</v>
      </c>
      <c r="G10" s="200">
        <f t="shared" si="1"/>
        <v>2.0499999999999998</v>
      </c>
      <c r="H10" s="201">
        <v>0</v>
      </c>
      <c r="I10" s="1">
        <v>0</v>
      </c>
      <c r="J10" s="1">
        <v>0</v>
      </c>
      <c r="K10" s="1">
        <v>0</v>
      </c>
      <c r="L10" s="1">
        <v>0</v>
      </c>
      <c r="M10" s="1">
        <v>0</v>
      </c>
      <c r="N10" s="1">
        <v>0</v>
      </c>
      <c r="O10" s="1">
        <v>0</v>
      </c>
      <c r="P10" s="1">
        <v>0</v>
      </c>
      <c r="Q10" s="1">
        <v>0</v>
      </c>
      <c r="R10" s="1">
        <v>0</v>
      </c>
      <c r="S10" s="1">
        <v>0</v>
      </c>
      <c r="T10" s="1">
        <v>0</v>
      </c>
      <c r="U10" s="1">
        <v>0</v>
      </c>
      <c r="V10" s="1">
        <v>1</v>
      </c>
      <c r="W10" s="1">
        <v>1</v>
      </c>
      <c r="X10" s="1">
        <v>1</v>
      </c>
      <c r="Y10" s="202">
        <v>1</v>
      </c>
      <c r="Z10" s="203"/>
      <c r="AA10" s="201">
        <f t="shared" si="2"/>
        <v>0</v>
      </c>
      <c r="AB10" s="1">
        <f t="shared" si="3"/>
        <v>0</v>
      </c>
      <c r="AC10" s="1">
        <f t="shared" si="4"/>
        <v>0</v>
      </c>
      <c r="AD10" s="1">
        <f t="shared" si="5"/>
        <v>0</v>
      </c>
      <c r="AE10" s="1">
        <f t="shared" si="6"/>
        <v>0</v>
      </c>
      <c r="AF10" s="1">
        <f t="shared" si="7"/>
        <v>0</v>
      </c>
      <c r="AG10" s="1">
        <f t="shared" si="8"/>
        <v>0</v>
      </c>
      <c r="AH10" s="1">
        <f t="shared" si="9"/>
        <v>0</v>
      </c>
      <c r="AI10" s="1">
        <f t="shared" si="10"/>
        <v>0</v>
      </c>
      <c r="AJ10" s="1">
        <f t="shared" si="11"/>
        <v>0</v>
      </c>
      <c r="AK10" s="1">
        <f t="shared" si="12"/>
        <v>0</v>
      </c>
      <c r="AL10" s="1">
        <f t="shared" si="13"/>
        <v>0</v>
      </c>
      <c r="AM10" s="1">
        <f t="shared" si="14"/>
        <v>0</v>
      </c>
      <c r="AN10" s="1">
        <f t="shared" si="15"/>
        <v>0</v>
      </c>
      <c r="AO10" s="1">
        <f t="shared" si="16"/>
        <v>2.0499999999999998</v>
      </c>
      <c r="AP10" s="1">
        <f t="shared" si="17"/>
        <v>2.0499999999999998</v>
      </c>
      <c r="AQ10" s="1">
        <f t="shared" si="18"/>
        <v>2.0499999999999998</v>
      </c>
      <c r="AR10" s="202">
        <f t="shared" si="19"/>
        <v>2.0499999999999998</v>
      </c>
      <c r="AS10" s="147"/>
      <c r="AT10" s="147"/>
      <c r="AU10" s="147"/>
      <c r="AV10" s="147"/>
    </row>
    <row r="11" spans="1:48" ht="17" thickBot="1" x14ac:dyDescent="0.25">
      <c r="A11" s="196"/>
      <c r="B11" s="7" t="s">
        <v>17</v>
      </c>
      <c r="C11" s="197">
        <v>8</v>
      </c>
      <c r="D11" s="198">
        <f t="shared" si="20"/>
        <v>0.04</v>
      </c>
      <c r="E11" s="199">
        <f t="shared" si="0"/>
        <v>1</v>
      </c>
      <c r="F11" s="198">
        <f t="shared" si="21"/>
        <v>0.15</v>
      </c>
      <c r="G11" s="200">
        <f t="shared" si="1"/>
        <v>0.75</v>
      </c>
      <c r="H11" s="201">
        <v>0</v>
      </c>
      <c r="I11" s="1">
        <v>0</v>
      </c>
      <c r="J11" s="1">
        <v>0</v>
      </c>
      <c r="K11" s="1">
        <v>0</v>
      </c>
      <c r="L11" s="1">
        <v>0</v>
      </c>
      <c r="M11" s="1">
        <v>0</v>
      </c>
      <c r="N11" s="1">
        <v>0</v>
      </c>
      <c r="O11" s="1">
        <v>0</v>
      </c>
      <c r="P11" s="1">
        <v>0</v>
      </c>
      <c r="Q11" s="1">
        <v>0</v>
      </c>
      <c r="R11" s="1">
        <v>0</v>
      </c>
      <c r="S11" s="1">
        <v>0</v>
      </c>
      <c r="T11" s="1">
        <v>0</v>
      </c>
      <c r="U11" s="1">
        <v>0</v>
      </c>
      <c r="V11" s="1">
        <v>1</v>
      </c>
      <c r="W11" s="1">
        <v>1</v>
      </c>
      <c r="X11" s="1">
        <v>1</v>
      </c>
      <c r="Y11" s="202">
        <v>1</v>
      </c>
      <c r="Z11" s="203"/>
      <c r="AA11" s="201">
        <f t="shared" si="2"/>
        <v>0</v>
      </c>
      <c r="AB11" s="1">
        <f t="shared" si="3"/>
        <v>0</v>
      </c>
      <c r="AC11" s="1">
        <f t="shared" si="4"/>
        <v>0</v>
      </c>
      <c r="AD11" s="1">
        <f t="shared" si="5"/>
        <v>0</v>
      </c>
      <c r="AE11" s="1">
        <f t="shared" si="6"/>
        <v>0</v>
      </c>
      <c r="AF11" s="1">
        <f t="shared" si="7"/>
        <v>0</v>
      </c>
      <c r="AG11" s="1">
        <f t="shared" si="8"/>
        <v>0</v>
      </c>
      <c r="AH11" s="1">
        <f t="shared" si="9"/>
        <v>0</v>
      </c>
      <c r="AI11" s="1">
        <f t="shared" si="10"/>
        <v>0</v>
      </c>
      <c r="AJ11" s="1">
        <f t="shared" si="11"/>
        <v>0</v>
      </c>
      <c r="AK11" s="1">
        <f t="shared" si="12"/>
        <v>0</v>
      </c>
      <c r="AL11" s="1">
        <f t="shared" si="13"/>
        <v>0</v>
      </c>
      <c r="AM11" s="1">
        <f t="shared" si="14"/>
        <v>0</v>
      </c>
      <c r="AN11" s="1">
        <f t="shared" si="15"/>
        <v>0</v>
      </c>
      <c r="AO11" s="1">
        <f t="shared" si="16"/>
        <v>0.75</v>
      </c>
      <c r="AP11" s="1">
        <f t="shared" si="17"/>
        <v>0.75</v>
      </c>
      <c r="AQ11" s="1">
        <f t="shared" si="18"/>
        <v>0.75</v>
      </c>
      <c r="AR11" s="202">
        <f t="shared" si="19"/>
        <v>0.75</v>
      </c>
      <c r="AS11" s="147"/>
    </row>
    <row r="12" spans="1:48" s="215" customFormat="1" ht="17" thickBot="1" x14ac:dyDescent="0.25">
      <c r="A12" s="204" t="s">
        <v>74</v>
      </c>
      <c r="B12" s="205"/>
      <c r="C12" s="206"/>
      <c r="D12" s="207"/>
      <c r="E12" s="208"/>
      <c r="F12" s="207"/>
      <c r="G12" s="209">
        <f>MAX(G3:G11)</f>
        <v>5</v>
      </c>
      <c r="H12" s="210"/>
      <c r="I12" s="211"/>
      <c r="J12" s="211"/>
      <c r="K12" s="211"/>
      <c r="L12" s="211"/>
      <c r="M12" s="211"/>
      <c r="N12" s="211"/>
      <c r="O12" s="211"/>
      <c r="P12" s="211"/>
      <c r="Q12" s="211"/>
      <c r="R12" s="211"/>
      <c r="S12" s="211"/>
      <c r="T12" s="211"/>
      <c r="U12" s="211"/>
      <c r="V12" s="211"/>
      <c r="W12" s="211"/>
      <c r="X12" s="211"/>
      <c r="Y12" s="212"/>
      <c r="Z12" s="213"/>
      <c r="AA12" s="210">
        <f>IF(COUNTA(AA3:AA11)=COUNTIF(AA3:AA11,""), "",MAX(AA3:AA11))</f>
        <v>0</v>
      </c>
      <c r="AB12" s="211">
        <f t="shared" ref="AB12:AR12" si="22">IF(COUNTA(AB3:AB11)=COUNTIF(AB3:AB11,""), "",MAX(AB3:AB11))</f>
        <v>0</v>
      </c>
      <c r="AC12" s="211">
        <f t="shared" si="22"/>
        <v>0</v>
      </c>
      <c r="AD12" s="211">
        <f t="shared" si="22"/>
        <v>0</v>
      </c>
      <c r="AE12" s="211">
        <f t="shared" si="22"/>
        <v>0</v>
      </c>
      <c r="AF12" s="211">
        <f t="shared" ref="AF12" si="23">IF(COUNTA(AF3:AF11)=COUNTIF(AF3:AF11,""), "",MAX(AF3:AF11))</f>
        <v>0</v>
      </c>
      <c r="AG12" s="211">
        <f t="shared" si="22"/>
        <v>0</v>
      </c>
      <c r="AH12" s="211">
        <f t="shared" si="22"/>
        <v>0</v>
      </c>
      <c r="AI12" s="211">
        <f t="shared" ref="AI12" si="24">IF(COUNTA(AI3:AI11)=COUNTIF(AI3:AI11,""), "",MAX(AI3:AI11))</f>
        <v>0</v>
      </c>
      <c r="AJ12" s="211">
        <f t="shared" si="22"/>
        <v>0</v>
      </c>
      <c r="AK12" s="211">
        <f t="shared" si="22"/>
        <v>0</v>
      </c>
      <c r="AL12" s="211">
        <f t="shared" ref="AL12" si="25">IF(COUNTA(AL3:AL11)=COUNTIF(AL3:AL11,""), "",MAX(AL3:AL11))</f>
        <v>0</v>
      </c>
      <c r="AM12" s="211">
        <f t="shared" si="22"/>
        <v>0</v>
      </c>
      <c r="AN12" s="211">
        <f t="shared" si="22"/>
        <v>0</v>
      </c>
      <c r="AO12" s="211">
        <f t="shared" si="22"/>
        <v>5</v>
      </c>
      <c r="AP12" s="211">
        <f t="shared" si="22"/>
        <v>5</v>
      </c>
      <c r="AQ12" s="211">
        <f t="shared" ref="AQ12" si="26">IF(COUNTA(AQ3:AQ11)=COUNTIF(AQ3:AQ11,""), "",MAX(AQ3:AQ11))</f>
        <v>5</v>
      </c>
      <c r="AR12" s="212">
        <f t="shared" si="22"/>
        <v>5</v>
      </c>
      <c r="AS12" s="214"/>
    </row>
    <row r="13" spans="1:48" ht="17" thickBot="1" x14ac:dyDescent="0.25">
      <c r="A13" s="216"/>
      <c r="B13" s="181" t="s">
        <v>189</v>
      </c>
      <c r="C13" s="217"/>
      <c r="D13" s="218"/>
      <c r="E13" s="219"/>
      <c r="F13" s="218"/>
      <c r="G13" s="220"/>
      <c r="H13" s="221"/>
      <c r="I13" s="203"/>
      <c r="J13" s="203"/>
      <c r="K13" s="203"/>
      <c r="L13" s="203"/>
      <c r="M13" s="203"/>
      <c r="N13" s="203"/>
      <c r="O13" s="203"/>
      <c r="P13" s="203"/>
      <c r="Q13" s="203"/>
      <c r="R13" s="203"/>
      <c r="S13" s="203"/>
      <c r="T13" s="203"/>
      <c r="U13" s="203"/>
      <c r="V13" s="203"/>
      <c r="W13" s="203"/>
      <c r="X13" s="203"/>
      <c r="Y13" s="222"/>
      <c r="Z13" s="203"/>
      <c r="AA13" s="221"/>
      <c r="AB13" s="203"/>
      <c r="AC13" s="203"/>
      <c r="AD13" s="203"/>
      <c r="AE13" s="203"/>
      <c r="AF13" s="203"/>
      <c r="AG13" s="203"/>
      <c r="AH13" s="203"/>
      <c r="AI13" s="203"/>
      <c r="AJ13" s="203"/>
      <c r="AK13" s="203"/>
      <c r="AL13" s="203"/>
      <c r="AM13" s="203"/>
      <c r="AN13" s="203"/>
      <c r="AO13" s="203"/>
      <c r="AP13" s="203"/>
      <c r="AQ13" s="203"/>
      <c r="AR13" s="222"/>
      <c r="AS13" s="147"/>
    </row>
    <row r="14" spans="1:48" x14ac:dyDescent="0.2">
      <c r="A14" s="188" t="s">
        <v>3</v>
      </c>
      <c r="B14" s="157" t="s">
        <v>18</v>
      </c>
      <c r="C14" s="189">
        <v>0</v>
      </c>
      <c r="D14" s="190">
        <f>IF($C$110=0,1,0)</f>
        <v>0</v>
      </c>
      <c r="E14" s="191">
        <f t="shared" ref="E14:E23" si="27">IF(AND(NOT(C$110=C14),OR(E$110=10,C$110=0)),0,1)</f>
        <v>1</v>
      </c>
      <c r="F14" s="190">
        <v>0</v>
      </c>
      <c r="G14" s="192">
        <f t="shared" ref="G14:G23" si="28">F14*D$110*E14</f>
        <v>0</v>
      </c>
      <c r="H14" s="193">
        <f>IF('Data Table'!$B$4='Calculation Table'!F14,0,0)</f>
        <v>0</v>
      </c>
      <c r="I14" s="194">
        <f>IF('Data Table'!$B$4='Calculation Table'!H14,0,0)</f>
        <v>0</v>
      </c>
      <c r="J14" s="194">
        <f>IF('Data Table'!$B$4='Calculation Table'!I14,0,0)</f>
        <v>0</v>
      </c>
      <c r="K14" s="194">
        <f>IF('Data Table'!$B$4='Calculation Table'!I14,0,0)</f>
        <v>0</v>
      </c>
      <c r="L14" s="194">
        <f>IF('Data Table'!$B$4='Calculation Table'!K14,0,0)</f>
        <v>0</v>
      </c>
      <c r="M14" s="194">
        <f>IF('Data Table'!$B$4='Calculation Table'!L14,0,0)</f>
        <v>0</v>
      </c>
      <c r="N14" s="194">
        <f>IF('Data Table'!$B$4='Calculation Table'!L14,0,0)</f>
        <v>0</v>
      </c>
      <c r="O14" s="194">
        <f>IF('Data Table'!$B$4='Calculation Table'!N14,0,0)</f>
        <v>0</v>
      </c>
      <c r="P14" s="194">
        <f>IF('Data Table'!$B$4='Calculation Table'!O14,0,0)</f>
        <v>0</v>
      </c>
      <c r="Q14" s="194">
        <f>IF('Data Table'!$B$4='Calculation Table'!O14,0,0)</f>
        <v>0</v>
      </c>
      <c r="R14" s="194">
        <f>IF('Data Table'!$B$4='Calculation Table'!Q14,0,0)</f>
        <v>0</v>
      </c>
      <c r="S14" s="194">
        <f>IF('Data Table'!$B$4='Calculation Table'!R14,0,0)</f>
        <v>0</v>
      </c>
      <c r="T14" s="194">
        <f>IF('Data Table'!$B$4='Calculation Table'!R14,0,0)</f>
        <v>0</v>
      </c>
      <c r="U14" s="194">
        <f>IF('Data Table'!$B$4='Calculation Table'!T14,0,0)</f>
        <v>0</v>
      </c>
      <c r="V14" s="194" t="e">
        <f>IF('Data Table'!$B$4='Calculation Table'!#REF!,0,0)</f>
        <v>#REF!</v>
      </c>
      <c r="W14" s="194" t="e">
        <f>IF('Data Table'!$B$4='Calculation Table'!V14,0,0)</f>
        <v>#REF!</v>
      </c>
      <c r="X14" s="194" t="e">
        <f>IF('Data Table'!$B$4='Calculation Table'!W14,0,0)</f>
        <v>#REF!</v>
      </c>
      <c r="Y14" s="194" t="e">
        <f>IF('Data Table'!$B$4='Calculation Table'!W14,0,0)</f>
        <v>#REF!</v>
      </c>
      <c r="Z14" s="184"/>
      <c r="AA14" s="193" t="str">
        <f t="shared" ref="AA14:AA23" si="29">IF($G14=0,"",ROUND(H14*$G14,2))</f>
        <v/>
      </c>
      <c r="AB14" s="194" t="str">
        <f t="shared" ref="AB14:AB23" si="30">IF($G14=0,"",ROUND(I14*$G14,2))</f>
        <v/>
      </c>
      <c r="AC14" s="194" t="str">
        <f t="shared" ref="AC14:AC23" si="31">IF($G14=0,"",ROUND(J14*$G14,2))</f>
        <v/>
      </c>
      <c r="AD14" s="194" t="str">
        <f t="shared" ref="AD14:AD23" si="32">IF($G14=0,"",ROUND(K14*$G14,2))</f>
        <v/>
      </c>
      <c r="AE14" s="194" t="str">
        <f t="shared" ref="AE14:AE23" si="33">IF($G14=0,"",ROUND(L14*$G14,2))</f>
        <v/>
      </c>
      <c r="AF14" s="194" t="str">
        <f t="shared" ref="AF14:AF23" si="34">IF($G14=0,"",ROUND(M14*$G14,2))</f>
        <v/>
      </c>
      <c r="AG14" s="194" t="str">
        <f t="shared" ref="AG14:AG23" si="35">IF($G14=0,"",ROUND(N14*$G14,2))</f>
        <v/>
      </c>
      <c r="AH14" s="194" t="str">
        <f t="shared" ref="AH14:AH23" si="36">IF($G14=0,"",ROUND(O14*$G14,2))</f>
        <v/>
      </c>
      <c r="AI14" s="194" t="str">
        <f t="shared" ref="AI14:AI23" si="37">IF($G14=0,"",ROUND(P14*$G14,2))</f>
        <v/>
      </c>
      <c r="AJ14" s="194" t="str">
        <f t="shared" ref="AJ14:AJ23" si="38">IF($G14=0,"",ROUND(Q14*$G14,2))</f>
        <v/>
      </c>
      <c r="AK14" s="194" t="str">
        <f t="shared" ref="AK14:AK23" si="39">IF($G14=0,"",ROUND(R14*$G14,2))</f>
        <v/>
      </c>
      <c r="AL14" s="194" t="str">
        <f t="shared" ref="AL14:AL23" si="40">IF($G14=0,"",ROUND(S14*$G14,2))</f>
        <v/>
      </c>
      <c r="AM14" s="194" t="str">
        <f t="shared" ref="AM14:AM23" si="41">IF($G14=0,"",ROUND(T14*$G14,2))</f>
        <v/>
      </c>
      <c r="AN14" s="194" t="str">
        <f t="shared" ref="AN14:AN23" si="42">IF($G14=0,"",ROUND(U14*$G14,2))</f>
        <v/>
      </c>
      <c r="AO14" s="194" t="str">
        <f t="shared" ref="AO14:AO23" si="43">IF($G14=0,"",ROUND(V14*$G14,2))</f>
        <v/>
      </c>
      <c r="AP14" s="194" t="str">
        <f t="shared" ref="AP14:AP23" si="44">IF($G14=0,"",ROUND(W14*$G14,2))</f>
        <v/>
      </c>
      <c r="AQ14" s="194" t="str">
        <f t="shared" ref="AQ14:AQ23" si="45">IF($G14=0,"",ROUND(X14*$G14,2))</f>
        <v/>
      </c>
      <c r="AR14" s="195" t="str">
        <f t="shared" ref="AR14:AR23" si="46">IF($G14=0,"",ROUND(Y14*$G14,2))</f>
        <v/>
      </c>
      <c r="AS14" s="147"/>
      <c r="AT14" s="147"/>
      <c r="AU14" s="147"/>
      <c r="AV14" s="147"/>
    </row>
    <row r="15" spans="1:48" x14ac:dyDescent="0.2">
      <c r="A15" s="223"/>
      <c r="B15" s="7" t="s">
        <v>23</v>
      </c>
      <c r="C15" s="197">
        <v>1</v>
      </c>
      <c r="D15" s="198">
        <f t="shared" ref="D15:D23" si="47">IF($C$110=0,0,ROUND(NORMDIST($C15,$C$110,((10-($E$110-1))/(COUNT(C$15:C$23)/2)),FALSE),2))</f>
        <v>0</v>
      </c>
      <c r="E15" s="199">
        <f t="shared" si="27"/>
        <v>1</v>
      </c>
      <c r="F15" s="198">
        <f t="shared" ref="F15:F23" si="48">IF(NOT($C$110=0),ROUND($D15/MAX(D$15:D$23),2),0)</f>
        <v>0</v>
      </c>
      <c r="G15" s="200">
        <f t="shared" si="28"/>
        <v>0</v>
      </c>
      <c r="H15" s="201">
        <v>1</v>
      </c>
      <c r="I15" s="1">
        <v>0.25</v>
      </c>
      <c r="J15" s="1">
        <v>0.25</v>
      </c>
      <c r="K15" s="1">
        <v>0.25</v>
      </c>
      <c r="L15" s="1">
        <v>0.25</v>
      </c>
      <c r="M15" s="1">
        <v>0.25</v>
      </c>
      <c r="N15" s="1">
        <v>0.25</v>
      </c>
      <c r="O15" s="1">
        <v>0.25</v>
      </c>
      <c r="P15" s="1">
        <v>0.25</v>
      </c>
      <c r="Q15" s="1">
        <v>0.25</v>
      </c>
      <c r="R15" s="1">
        <v>0.125</v>
      </c>
      <c r="S15" s="1">
        <v>0.125</v>
      </c>
      <c r="T15" s="1">
        <v>0.125</v>
      </c>
      <c r="U15" s="1">
        <v>0.125</v>
      </c>
      <c r="V15" s="1">
        <v>0.25</v>
      </c>
      <c r="W15" s="1">
        <v>0.25</v>
      </c>
      <c r="X15" s="1">
        <v>0.25</v>
      </c>
      <c r="Y15" s="1">
        <v>0.125</v>
      </c>
      <c r="Z15" s="220"/>
      <c r="AA15" s="201" t="str">
        <f t="shared" si="29"/>
        <v/>
      </c>
      <c r="AB15" s="1" t="str">
        <f t="shared" si="30"/>
        <v/>
      </c>
      <c r="AC15" s="1" t="str">
        <f t="shared" si="31"/>
        <v/>
      </c>
      <c r="AD15" s="1" t="str">
        <f t="shared" si="32"/>
        <v/>
      </c>
      <c r="AE15" s="1" t="str">
        <f t="shared" si="33"/>
        <v/>
      </c>
      <c r="AF15" s="1" t="str">
        <f t="shared" si="34"/>
        <v/>
      </c>
      <c r="AG15" s="1" t="str">
        <f t="shared" si="35"/>
        <v/>
      </c>
      <c r="AH15" s="1" t="str">
        <f t="shared" si="36"/>
        <v/>
      </c>
      <c r="AI15" s="1" t="str">
        <f t="shared" si="37"/>
        <v/>
      </c>
      <c r="AJ15" s="1" t="str">
        <f t="shared" si="38"/>
        <v/>
      </c>
      <c r="AK15" s="1" t="str">
        <f t="shared" si="39"/>
        <v/>
      </c>
      <c r="AL15" s="1" t="str">
        <f t="shared" si="40"/>
        <v/>
      </c>
      <c r="AM15" s="1" t="str">
        <f t="shared" si="41"/>
        <v/>
      </c>
      <c r="AN15" s="1" t="str">
        <f t="shared" si="42"/>
        <v/>
      </c>
      <c r="AO15" s="1" t="str">
        <f t="shared" si="43"/>
        <v/>
      </c>
      <c r="AP15" s="1" t="str">
        <f t="shared" si="44"/>
        <v/>
      </c>
      <c r="AQ15" s="1" t="str">
        <f t="shared" si="45"/>
        <v/>
      </c>
      <c r="AR15" s="202" t="str">
        <f t="shared" si="46"/>
        <v/>
      </c>
      <c r="AS15" s="147"/>
      <c r="AT15" s="147"/>
      <c r="AU15" s="147"/>
      <c r="AV15" s="147"/>
    </row>
    <row r="16" spans="1:48" x14ac:dyDescent="0.2">
      <c r="A16" s="223"/>
      <c r="B16" s="7" t="s">
        <v>155</v>
      </c>
      <c r="C16" s="197">
        <v>2</v>
      </c>
      <c r="D16" s="198">
        <f t="shared" si="47"/>
        <v>0.02</v>
      </c>
      <c r="E16" s="199">
        <f t="shared" si="27"/>
        <v>1</v>
      </c>
      <c r="F16" s="198">
        <f t="shared" si="48"/>
        <v>0.04</v>
      </c>
      <c r="G16" s="200">
        <f t="shared" si="28"/>
        <v>0.2</v>
      </c>
      <c r="H16" s="201">
        <v>1</v>
      </c>
      <c r="I16" s="1">
        <v>0.5</v>
      </c>
      <c r="J16" s="1">
        <v>0.5</v>
      </c>
      <c r="K16" s="1">
        <v>0.5</v>
      </c>
      <c r="L16" s="1">
        <v>0.5</v>
      </c>
      <c r="M16" s="1">
        <v>0.5</v>
      </c>
      <c r="N16" s="1">
        <v>0.5</v>
      </c>
      <c r="O16" s="1">
        <v>0.5</v>
      </c>
      <c r="P16" s="1">
        <v>0.5</v>
      </c>
      <c r="Q16" s="1">
        <v>0.5</v>
      </c>
      <c r="R16" s="1">
        <v>0.25</v>
      </c>
      <c r="S16" s="1">
        <v>0.25</v>
      </c>
      <c r="T16" s="1">
        <v>0.25</v>
      </c>
      <c r="U16" s="1">
        <v>0.25</v>
      </c>
      <c r="V16" s="1">
        <v>0.5</v>
      </c>
      <c r="W16" s="1">
        <v>0.5</v>
      </c>
      <c r="X16" s="1">
        <v>0.5</v>
      </c>
      <c r="Y16" s="1">
        <v>0.25</v>
      </c>
      <c r="Z16" s="220"/>
      <c r="AA16" s="201">
        <f t="shared" si="29"/>
        <v>0.2</v>
      </c>
      <c r="AB16" s="1">
        <f t="shared" si="30"/>
        <v>0.1</v>
      </c>
      <c r="AC16" s="1">
        <f t="shared" si="31"/>
        <v>0.1</v>
      </c>
      <c r="AD16" s="1">
        <f t="shared" si="32"/>
        <v>0.1</v>
      </c>
      <c r="AE16" s="1">
        <f t="shared" si="33"/>
        <v>0.1</v>
      </c>
      <c r="AF16" s="1">
        <f t="shared" si="34"/>
        <v>0.1</v>
      </c>
      <c r="AG16" s="1">
        <f t="shared" si="35"/>
        <v>0.1</v>
      </c>
      <c r="AH16" s="1">
        <f t="shared" si="36"/>
        <v>0.1</v>
      </c>
      <c r="AI16" s="1">
        <f t="shared" si="37"/>
        <v>0.1</v>
      </c>
      <c r="AJ16" s="1">
        <f t="shared" si="38"/>
        <v>0.1</v>
      </c>
      <c r="AK16" s="1">
        <f t="shared" si="39"/>
        <v>0.05</v>
      </c>
      <c r="AL16" s="1">
        <f t="shared" si="40"/>
        <v>0.05</v>
      </c>
      <c r="AM16" s="1">
        <f t="shared" si="41"/>
        <v>0.05</v>
      </c>
      <c r="AN16" s="1">
        <f t="shared" si="42"/>
        <v>0.05</v>
      </c>
      <c r="AO16" s="1">
        <f t="shared" si="43"/>
        <v>0.1</v>
      </c>
      <c r="AP16" s="1">
        <f t="shared" si="44"/>
        <v>0.1</v>
      </c>
      <c r="AQ16" s="1">
        <f t="shared" si="45"/>
        <v>0.1</v>
      </c>
      <c r="AR16" s="202">
        <f t="shared" si="46"/>
        <v>0.05</v>
      </c>
      <c r="AS16" s="147"/>
      <c r="AT16" s="147"/>
      <c r="AU16" s="147"/>
      <c r="AV16" s="147"/>
    </row>
    <row r="17" spans="1:48" x14ac:dyDescent="0.2">
      <c r="A17" s="223"/>
      <c r="B17" s="7" t="s">
        <v>156</v>
      </c>
      <c r="C17" s="197">
        <v>3</v>
      </c>
      <c r="D17" s="198">
        <f t="shared" si="47"/>
        <v>0.22</v>
      </c>
      <c r="E17" s="199">
        <f t="shared" si="27"/>
        <v>1</v>
      </c>
      <c r="F17" s="198">
        <f t="shared" si="48"/>
        <v>0.43</v>
      </c>
      <c r="G17" s="200">
        <f t="shared" si="28"/>
        <v>2.15</v>
      </c>
      <c r="H17" s="201">
        <v>1</v>
      </c>
      <c r="I17" s="1">
        <v>1</v>
      </c>
      <c r="J17" s="1">
        <v>1</v>
      </c>
      <c r="K17" s="1">
        <v>1</v>
      </c>
      <c r="L17" s="1">
        <v>1</v>
      </c>
      <c r="M17" s="1">
        <v>1</v>
      </c>
      <c r="N17" s="1">
        <v>1</v>
      </c>
      <c r="O17" s="1">
        <v>0.5</v>
      </c>
      <c r="P17" s="1">
        <v>0.5</v>
      </c>
      <c r="Q17" s="1">
        <v>0.5</v>
      </c>
      <c r="R17" s="1">
        <v>0.5</v>
      </c>
      <c r="S17" s="1">
        <v>0.5</v>
      </c>
      <c r="T17" s="1">
        <v>0.5</v>
      </c>
      <c r="U17" s="1">
        <v>0.5</v>
      </c>
      <c r="V17" s="1">
        <v>1</v>
      </c>
      <c r="W17" s="1">
        <v>1</v>
      </c>
      <c r="X17" s="1">
        <v>1</v>
      </c>
      <c r="Y17" s="1">
        <v>0.5</v>
      </c>
      <c r="Z17" s="220"/>
      <c r="AA17" s="201">
        <f t="shared" si="29"/>
        <v>2.15</v>
      </c>
      <c r="AB17" s="1">
        <f t="shared" si="30"/>
        <v>2.15</v>
      </c>
      <c r="AC17" s="1">
        <f t="shared" si="31"/>
        <v>2.15</v>
      </c>
      <c r="AD17" s="1">
        <f t="shared" si="32"/>
        <v>2.15</v>
      </c>
      <c r="AE17" s="1">
        <f t="shared" si="33"/>
        <v>2.15</v>
      </c>
      <c r="AF17" s="1">
        <f t="shared" si="34"/>
        <v>2.15</v>
      </c>
      <c r="AG17" s="1">
        <f t="shared" si="35"/>
        <v>2.15</v>
      </c>
      <c r="AH17" s="1">
        <f t="shared" si="36"/>
        <v>1.08</v>
      </c>
      <c r="AI17" s="1">
        <f t="shared" si="37"/>
        <v>1.08</v>
      </c>
      <c r="AJ17" s="1">
        <f t="shared" si="38"/>
        <v>1.08</v>
      </c>
      <c r="AK17" s="1">
        <f t="shared" si="39"/>
        <v>1.08</v>
      </c>
      <c r="AL17" s="1">
        <f t="shared" si="40"/>
        <v>1.08</v>
      </c>
      <c r="AM17" s="1">
        <f t="shared" si="41"/>
        <v>1.08</v>
      </c>
      <c r="AN17" s="1">
        <f t="shared" si="42"/>
        <v>1.08</v>
      </c>
      <c r="AO17" s="1">
        <f t="shared" si="43"/>
        <v>2.15</v>
      </c>
      <c r="AP17" s="1">
        <f t="shared" si="44"/>
        <v>2.15</v>
      </c>
      <c r="AQ17" s="1">
        <f t="shared" si="45"/>
        <v>2.15</v>
      </c>
      <c r="AR17" s="202">
        <f t="shared" si="46"/>
        <v>1.08</v>
      </c>
      <c r="AS17" s="147"/>
      <c r="AT17" s="147"/>
      <c r="AU17" s="147"/>
      <c r="AV17" s="147"/>
    </row>
    <row r="18" spans="1:48" x14ac:dyDescent="0.2">
      <c r="A18" s="223"/>
      <c r="B18" s="7" t="s">
        <v>157</v>
      </c>
      <c r="C18" s="197">
        <v>4</v>
      </c>
      <c r="D18" s="198">
        <f t="shared" si="47"/>
        <v>0.51</v>
      </c>
      <c r="E18" s="199">
        <f t="shared" si="27"/>
        <v>1</v>
      </c>
      <c r="F18" s="198">
        <f t="shared" si="48"/>
        <v>1</v>
      </c>
      <c r="G18" s="200">
        <f t="shared" si="28"/>
        <v>5</v>
      </c>
      <c r="H18" s="201">
        <v>1</v>
      </c>
      <c r="I18" s="1">
        <v>1</v>
      </c>
      <c r="J18" s="1">
        <v>1</v>
      </c>
      <c r="K18" s="1">
        <v>1</v>
      </c>
      <c r="L18" s="1">
        <v>1</v>
      </c>
      <c r="M18" s="1">
        <v>1</v>
      </c>
      <c r="N18" s="1">
        <v>1</v>
      </c>
      <c r="O18" s="1">
        <v>1</v>
      </c>
      <c r="P18" s="1">
        <v>1</v>
      </c>
      <c r="Q18" s="1">
        <v>1</v>
      </c>
      <c r="R18" s="1">
        <v>0.5</v>
      </c>
      <c r="S18" s="1">
        <v>0.5</v>
      </c>
      <c r="T18" s="1">
        <v>0.5</v>
      </c>
      <c r="U18" s="1">
        <v>0.5</v>
      </c>
      <c r="V18" s="1">
        <v>1</v>
      </c>
      <c r="W18" s="1">
        <v>1</v>
      </c>
      <c r="X18" s="1">
        <v>1</v>
      </c>
      <c r="Y18" s="1">
        <v>1</v>
      </c>
      <c r="Z18" s="220"/>
      <c r="AA18" s="201">
        <f t="shared" si="29"/>
        <v>5</v>
      </c>
      <c r="AB18" s="1">
        <f t="shared" si="30"/>
        <v>5</v>
      </c>
      <c r="AC18" s="1">
        <f t="shared" si="31"/>
        <v>5</v>
      </c>
      <c r="AD18" s="1">
        <f t="shared" si="32"/>
        <v>5</v>
      </c>
      <c r="AE18" s="1">
        <f t="shared" si="33"/>
        <v>5</v>
      </c>
      <c r="AF18" s="1">
        <f t="shared" si="34"/>
        <v>5</v>
      </c>
      <c r="AG18" s="1">
        <f t="shared" si="35"/>
        <v>5</v>
      </c>
      <c r="AH18" s="1">
        <f t="shared" si="36"/>
        <v>5</v>
      </c>
      <c r="AI18" s="1">
        <f t="shared" si="37"/>
        <v>5</v>
      </c>
      <c r="AJ18" s="1">
        <f t="shared" si="38"/>
        <v>5</v>
      </c>
      <c r="AK18" s="1">
        <f t="shared" si="39"/>
        <v>2.5</v>
      </c>
      <c r="AL18" s="1">
        <f t="shared" si="40"/>
        <v>2.5</v>
      </c>
      <c r="AM18" s="1">
        <f t="shared" si="41"/>
        <v>2.5</v>
      </c>
      <c r="AN18" s="1">
        <f t="shared" si="42"/>
        <v>2.5</v>
      </c>
      <c r="AO18" s="1">
        <f t="shared" si="43"/>
        <v>5</v>
      </c>
      <c r="AP18" s="1">
        <f t="shared" si="44"/>
        <v>5</v>
      </c>
      <c r="AQ18" s="1">
        <f t="shared" si="45"/>
        <v>5</v>
      </c>
      <c r="AR18" s="202">
        <f t="shared" si="46"/>
        <v>5</v>
      </c>
      <c r="AS18" s="147"/>
      <c r="AT18" s="147"/>
      <c r="AU18" s="147"/>
      <c r="AV18" s="147"/>
    </row>
    <row r="19" spans="1:48" x14ac:dyDescent="0.2">
      <c r="A19" s="223"/>
      <c r="B19" s="7" t="s">
        <v>158</v>
      </c>
      <c r="C19" s="197">
        <v>5</v>
      </c>
      <c r="D19" s="198">
        <f t="shared" si="47"/>
        <v>0.22</v>
      </c>
      <c r="E19" s="199">
        <f t="shared" si="27"/>
        <v>1</v>
      </c>
      <c r="F19" s="198">
        <f t="shared" si="48"/>
        <v>0.43</v>
      </c>
      <c r="G19" s="200">
        <f t="shared" si="28"/>
        <v>2.15</v>
      </c>
      <c r="H19" s="201">
        <v>1</v>
      </c>
      <c r="I19" s="1">
        <v>1</v>
      </c>
      <c r="J19" s="1">
        <v>1</v>
      </c>
      <c r="K19" s="1">
        <v>1</v>
      </c>
      <c r="L19" s="1">
        <v>1</v>
      </c>
      <c r="M19" s="1">
        <v>1</v>
      </c>
      <c r="N19" s="1">
        <v>1</v>
      </c>
      <c r="O19" s="1">
        <v>1</v>
      </c>
      <c r="P19" s="1">
        <v>1</v>
      </c>
      <c r="Q19" s="1">
        <v>1</v>
      </c>
      <c r="R19" s="1">
        <v>1</v>
      </c>
      <c r="S19" s="1">
        <v>1</v>
      </c>
      <c r="T19" s="1">
        <v>1</v>
      </c>
      <c r="U19" s="1">
        <v>1</v>
      </c>
      <c r="V19" s="1">
        <v>1</v>
      </c>
      <c r="W19" s="1">
        <v>1</v>
      </c>
      <c r="X19" s="1">
        <v>1</v>
      </c>
      <c r="Y19" s="1">
        <v>1</v>
      </c>
      <c r="Z19" s="220"/>
      <c r="AA19" s="201">
        <f t="shared" si="29"/>
        <v>2.15</v>
      </c>
      <c r="AB19" s="1">
        <f t="shared" si="30"/>
        <v>2.15</v>
      </c>
      <c r="AC19" s="1">
        <f t="shared" si="31"/>
        <v>2.15</v>
      </c>
      <c r="AD19" s="1">
        <f t="shared" si="32"/>
        <v>2.15</v>
      </c>
      <c r="AE19" s="1">
        <f t="shared" si="33"/>
        <v>2.15</v>
      </c>
      <c r="AF19" s="1">
        <f t="shared" si="34"/>
        <v>2.15</v>
      </c>
      <c r="AG19" s="1">
        <f t="shared" si="35"/>
        <v>2.15</v>
      </c>
      <c r="AH19" s="1">
        <f t="shared" si="36"/>
        <v>2.15</v>
      </c>
      <c r="AI19" s="1">
        <f t="shared" si="37"/>
        <v>2.15</v>
      </c>
      <c r="AJ19" s="1">
        <f t="shared" si="38"/>
        <v>2.15</v>
      </c>
      <c r="AK19" s="1">
        <f t="shared" si="39"/>
        <v>2.15</v>
      </c>
      <c r="AL19" s="1">
        <f t="shared" si="40"/>
        <v>2.15</v>
      </c>
      <c r="AM19" s="1">
        <f t="shared" si="41"/>
        <v>2.15</v>
      </c>
      <c r="AN19" s="1">
        <f t="shared" si="42"/>
        <v>2.15</v>
      </c>
      <c r="AO19" s="1">
        <f t="shared" si="43"/>
        <v>2.15</v>
      </c>
      <c r="AP19" s="1">
        <f t="shared" si="44"/>
        <v>2.15</v>
      </c>
      <c r="AQ19" s="1">
        <f t="shared" si="45"/>
        <v>2.15</v>
      </c>
      <c r="AR19" s="202">
        <f t="shared" si="46"/>
        <v>2.15</v>
      </c>
      <c r="AS19" s="147"/>
      <c r="AT19" s="147"/>
      <c r="AU19" s="147"/>
      <c r="AV19" s="147"/>
    </row>
    <row r="20" spans="1:48" x14ac:dyDescent="0.2">
      <c r="A20" s="223"/>
      <c r="B20" s="7" t="s">
        <v>21</v>
      </c>
      <c r="C20" s="197">
        <v>6</v>
      </c>
      <c r="D20" s="198">
        <f t="shared" si="47"/>
        <v>0.02</v>
      </c>
      <c r="E20" s="199">
        <f t="shared" si="27"/>
        <v>1</v>
      </c>
      <c r="F20" s="198">
        <f t="shared" si="48"/>
        <v>0.04</v>
      </c>
      <c r="G20" s="200">
        <f t="shared" si="28"/>
        <v>0.2</v>
      </c>
      <c r="H20" s="201">
        <v>1</v>
      </c>
      <c r="I20" s="1">
        <v>1</v>
      </c>
      <c r="J20" s="1">
        <v>1</v>
      </c>
      <c r="K20" s="1">
        <v>1</v>
      </c>
      <c r="L20" s="1">
        <v>1</v>
      </c>
      <c r="M20" s="1">
        <v>1</v>
      </c>
      <c r="N20" s="1">
        <v>1</v>
      </c>
      <c r="O20" s="1">
        <v>1</v>
      </c>
      <c r="P20" s="1">
        <v>1</v>
      </c>
      <c r="Q20" s="1">
        <v>1</v>
      </c>
      <c r="R20" s="1">
        <v>1</v>
      </c>
      <c r="S20" s="1">
        <v>1</v>
      </c>
      <c r="T20" s="1">
        <v>1</v>
      </c>
      <c r="U20" s="1">
        <v>1</v>
      </c>
      <c r="V20" s="1">
        <v>1</v>
      </c>
      <c r="W20" s="1">
        <v>1</v>
      </c>
      <c r="X20" s="1">
        <v>1</v>
      </c>
      <c r="Y20" s="1">
        <v>1</v>
      </c>
      <c r="Z20" s="220"/>
      <c r="AA20" s="201">
        <f t="shared" si="29"/>
        <v>0.2</v>
      </c>
      <c r="AB20" s="1">
        <f t="shared" si="30"/>
        <v>0.2</v>
      </c>
      <c r="AC20" s="1">
        <f t="shared" si="31"/>
        <v>0.2</v>
      </c>
      <c r="AD20" s="1">
        <f t="shared" si="32"/>
        <v>0.2</v>
      </c>
      <c r="AE20" s="1">
        <f t="shared" si="33"/>
        <v>0.2</v>
      </c>
      <c r="AF20" s="1">
        <f t="shared" si="34"/>
        <v>0.2</v>
      </c>
      <c r="AG20" s="1">
        <f t="shared" si="35"/>
        <v>0.2</v>
      </c>
      <c r="AH20" s="1">
        <f t="shared" si="36"/>
        <v>0.2</v>
      </c>
      <c r="AI20" s="1">
        <f t="shared" si="37"/>
        <v>0.2</v>
      </c>
      <c r="AJ20" s="1">
        <f t="shared" si="38"/>
        <v>0.2</v>
      </c>
      <c r="AK20" s="1">
        <f t="shared" si="39"/>
        <v>0.2</v>
      </c>
      <c r="AL20" s="1">
        <f t="shared" si="40"/>
        <v>0.2</v>
      </c>
      <c r="AM20" s="1">
        <f t="shared" si="41"/>
        <v>0.2</v>
      </c>
      <c r="AN20" s="1">
        <f t="shared" si="42"/>
        <v>0.2</v>
      </c>
      <c r="AO20" s="1">
        <f t="shared" si="43"/>
        <v>0.2</v>
      </c>
      <c r="AP20" s="1">
        <f t="shared" si="44"/>
        <v>0.2</v>
      </c>
      <c r="AQ20" s="1">
        <f t="shared" si="45"/>
        <v>0.2</v>
      </c>
      <c r="AR20" s="202">
        <f t="shared" si="46"/>
        <v>0.2</v>
      </c>
      <c r="AS20" s="147"/>
      <c r="AT20" s="147"/>
      <c r="AU20" s="147"/>
      <c r="AV20" s="147"/>
    </row>
    <row r="21" spans="1:48" x14ac:dyDescent="0.2">
      <c r="A21" s="223"/>
      <c r="B21" s="7" t="s">
        <v>20</v>
      </c>
      <c r="C21" s="197">
        <v>7</v>
      </c>
      <c r="D21" s="198">
        <f t="shared" si="47"/>
        <v>0</v>
      </c>
      <c r="E21" s="199">
        <f t="shared" si="27"/>
        <v>1</v>
      </c>
      <c r="F21" s="198">
        <f t="shared" si="48"/>
        <v>0</v>
      </c>
      <c r="G21" s="200">
        <f t="shared" si="28"/>
        <v>0</v>
      </c>
      <c r="H21" s="201">
        <v>1</v>
      </c>
      <c r="I21" s="1">
        <v>1</v>
      </c>
      <c r="J21" s="1">
        <v>1</v>
      </c>
      <c r="K21" s="1">
        <v>1</v>
      </c>
      <c r="L21" s="1">
        <v>1</v>
      </c>
      <c r="M21" s="1">
        <v>1</v>
      </c>
      <c r="N21" s="1">
        <v>1</v>
      </c>
      <c r="O21" s="1">
        <v>1</v>
      </c>
      <c r="P21" s="1">
        <v>1</v>
      </c>
      <c r="Q21" s="1">
        <v>1</v>
      </c>
      <c r="R21" s="1">
        <v>1</v>
      </c>
      <c r="S21" s="1">
        <v>1</v>
      </c>
      <c r="T21" s="1">
        <v>1</v>
      </c>
      <c r="U21" s="1">
        <v>1</v>
      </c>
      <c r="V21" s="1">
        <v>1</v>
      </c>
      <c r="W21" s="1">
        <v>1</v>
      </c>
      <c r="X21" s="1">
        <v>1</v>
      </c>
      <c r="Y21" s="1">
        <v>1</v>
      </c>
      <c r="Z21" s="220"/>
      <c r="AA21" s="201" t="str">
        <f t="shared" si="29"/>
        <v/>
      </c>
      <c r="AB21" s="1" t="str">
        <f t="shared" si="30"/>
        <v/>
      </c>
      <c r="AC21" s="1" t="str">
        <f t="shared" si="31"/>
        <v/>
      </c>
      <c r="AD21" s="1" t="str">
        <f t="shared" si="32"/>
        <v/>
      </c>
      <c r="AE21" s="1" t="str">
        <f t="shared" si="33"/>
        <v/>
      </c>
      <c r="AF21" s="1" t="str">
        <f t="shared" si="34"/>
        <v/>
      </c>
      <c r="AG21" s="1" t="str">
        <f t="shared" si="35"/>
        <v/>
      </c>
      <c r="AH21" s="1" t="str">
        <f t="shared" si="36"/>
        <v/>
      </c>
      <c r="AI21" s="1" t="str">
        <f t="shared" si="37"/>
        <v/>
      </c>
      <c r="AJ21" s="1" t="str">
        <f t="shared" si="38"/>
        <v/>
      </c>
      <c r="AK21" s="1" t="str">
        <f t="shared" si="39"/>
        <v/>
      </c>
      <c r="AL21" s="1" t="str">
        <f t="shared" si="40"/>
        <v/>
      </c>
      <c r="AM21" s="1" t="str">
        <f t="shared" si="41"/>
        <v/>
      </c>
      <c r="AN21" s="1" t="str">
        <f t="shared" si="42"/>
        <v/>
      </c>
      <c r="AO21" s="1" t="str">
        <f t="shared" si="43"/>
        <v/>
      </c>
      <c r="AP21" s="1" t="str">
        <f t="shared" si="44"/>
        <v/>
      </c>
      <c r="AQ21" s="1" t="str">
        <f t="shared" si="45"/>
        <v/>
      </c>
      <c r="AR21" s="202" t="str">
        <f t="shared" si="46"/>
        <v/>
      </c>
      <c r="AS21" s="147"/>
      <c r="AT21" s="147"/>
      <c r="AU21" s="147"/>
      <c r="AV21" s="147"/>
    </row>
    <row r="22" spans="1:48" x14ac:dyDescent="0.2">
      <c r="A22" s="223"/>
      <c r="B22" s="7" t="s">
        <v>19</v>
      </c>
      <c r="C22" s="197">
        <v>8</v>
      </c>
      <c r="D22" s="198">
        <f t="shared" si="47"/>
        <v>0</v>
      </c>
      <c r="E22" s="199">
        <f t="shared" si="27"/>
        <v>1</v>
      </c>
      <c r="F22" s="198">
        <f t="shared" si="48"/>
        <v>0</v>
      </c>
      <c r="G22" s="200">
        <f t="shared" si="28"/>
        <v>0</v>
      </c>
      <c r="H22" s="201">
        <v>1</v>
      </c>
      <c r="I22" s="1">
        <v>1</v>
      </c>
      <c r="J22" s="1">
        <v>1</v>
      </c>
      <c r="K22" s="1">
        <v>1</v>
      </c>
      <c r="L22" s="1">
        <v>1</v>
      </c>
      <c r="M22" s="1">
        <v>1</v>
      </c>
      <c r="N22" s="1">
        <v>1</v>
      </c>
      <c r="O22" s="1">
        <v>1</v>
      </c>
      <c r="P22" s="1">
        <v>1</v>
      </c>
      <c r="Q22" s="1">
        <v>1</v>
      </c>
      <c r="R22" s="1">
        <v>1</v>
      </c>
      <c r="S22" s="1">
        <v>1</v>
      </c>
      <c r="T22" s="1">
        <v>1</v>
      </c>
      <c r="U22" s="1">
        <v>1</v>
      </c>
      <c r="V22" s="1">
        <v>1</v>
      </c>
      <c r="W22" s="1">
        <v>1</v>
      </c>
      <c r="X22" s="1">
        <v>1</v>
      </c>
      <c r="Y22" s="1">
        <v>1</v>
      </c>
      <c r="Z22" s="220"/>
      <c r="AA22" s="201" t="str">
        <f t="shared" si="29"/>
        <v/>
      </c>
      <c r="AB22" s="1" t="str">
        <f t="shared" si="30"/>
        <v/>
      </c>
      <c r="AC22" s="1" t="str">
        <f t="shared" si="31"/>
        <v/>
      </c>
      <c r="AD22" s="1" t="str">
        <f t="shared" si="32"/>
        <v/>
      </c>
      <c r="AE22" s="1" t="str">
        <f t="shared" si="33"/>
        <v/>
      </c>
      <c r="AF22" s="1" t="str">
        <f t="shared" si="34"/>
        <v/>
      </c>
      <c r="AG22" s="1" t="str">
        <f t="shared" si="35"/>
        <v/>
      </c>
      <c r="AH22" s="1" t="str">
        <f t="shared" si="36"/>
        <v/>
      </c>
      <c r="AI22" s="1" t="str">
        <f t="shared" si="37"/>
        <v/>
      </c>
      <c r="AJ22" s="1" t="str">
        <f t="shared" si="38"/>
        <v/>
      </c>
      <c r="AK22" s="1" t="str">
        <f t="shared" si="39"/>
        <v/>
      </c>
      <c r="AL22" s="1" t="str">
        <f t="shared" si="40"/>
        <v/>
      </c>
      <c r="AM22" s="1" t="str">
        <f t="shared" si="41"/>
        <v/>
      </c>
      <c r="AN22" s="1" t="str">
        <f t="shared" si="42"/>
        <v/>
      </c>
      <c r="AO22" s="1" t="str">
        <f t="shared" si="43"/>
        <v/>
      </c>
      <c r="AP22" s="1" t="str">
        <f t="shared" si="44"/>
        <v/>
      </c>
      <c r="AQ22" s="1" t="str">
        <f t="shared" si="45"/>
        <v/>
      </c>
      <c r="AR22" s="202" t="str">
        <f t="shared" si="46"/>
        <v/>
      </c>
      <c r="AS22" s="147"/>
      <c r="AT22" s="147"/>
      <c r="AU22" s="147"/>
      <c r="AV22" s="147"/>
    </row>
    <row r="23" spans="1:48" ht="17" thickBot="1" x14ac:dyDescent="0.25">
      <c r="A23" s="224"/>
      <c r="B23" s="225" t="s">
        <v>17</v>
      </c>
      <c r="C23" s="226">
        <v>9</v>
      </c>
      <c r="D23" s="198">
        <f t="shared" si="47"/>
        <v>0</v>
      </c>
      <c r="E23" s="199">
        <f t="shared" si="27"/>
        <v>1</v>
      </c>
      <c r="F23" s="198">
        <f t="shared" si="48"/>
        <v>0</v>
      </c>
      <c r="G23" s="200">
        <f t="shared" si="28"/>
        <v>0</v>
      </c>
      <c r="H23" s="201">
        <v>1</v>
      </c>
      <c r="I23" s="1">
        <v>1</v>
      </c>
      <c r="J23" s="1">
        <v>1</v>
      </c>
      <c r="K23" s="1">
        <v>1</v>
      </c>
      <c r="L23" s="1">
        <v>1</v>
      </c>
      <c r="M23" s="1">
        <v>1</v>
      </c>
      <c r="N23" s="1">
        <v>1</v>
      </c>
      <c r="O23" s="1">
        <v>1</v>
      </c>
      <c r="P23" s="1">
        <v>1</v>
      </c>
      <c r="Q23" s="1">
        <v>1</v>
      </c>
      <c r="R23" s="1">
        <v>1</v>
      </c>
      <c r="S23" s="1">
        <v>1</v>
      </c>
      <c r="T23" s="1">
        <v>1</v>
      </c>
      <c r="U23" s="1">
        <v>1</v>
      </c>
      <c r="V23" s="1">
        <v>1</v>
      </c>
      <c r="W23" s="1">
        <v>1</v>
      </c>
      <c r="X23" s="1">
        <v>1</v>
      </c>
      <c r="Y23" s="1">
        <v>1</v>
      </c>
      <c r="Z23" s="227"/>
      <c r="AA23" s="201" t="str">
        <f t="shared" si="29"/>
        <v/>
      </c>
      <c r="AB23" s="1" t="str">
        <f t="shared" si="30"/>
        <v/>
      </c>
      <c r="AC23" s="1" t="str">
        <f t="shared" si="31"/>
        <v/>
      </c>
      <c r="AD23" s="1" t="str">
        <f t="shared" si="32"/>
        <v/>
      </c>
      <c r="AE23" s="1" t="str">
        <f t="shared" si="33"/>
        <v/>
      </c>
      <c r="AF23" s="1" t="str">
        <f t="shared" si="34"/>
        <v/>
      </c>
      <c r="AG23" s="1" t="str">
        <f t="shared" si="35"/>
        <v/>
      </c>
      <c r="AH23" s="1" t="str">
        <f t="shared" si="36"/>
        <v/>
      </c>
      <c r="AI23" s="1" t="str">
        <f t="shared" si="37"/>
        <v/>
      </c>
      <c r="AJ23" s="1" t="str">
        <f t="shared" si="38"/>
        <v/>
      </c>
      <c r="AK23" s="1" t="str">
        <f t="shared" si="39"/>
        <v/>
      </c>
      <c r="AL23" s="1" t="str">
        <f t="shared" si="40"/>
        <v/>
      </c>
      <c r="AM23" s="1" t="str">
        <f t="shared" si="41"/>
        <v/>
      </c>
      <c r="AN23" s="1" t="str">
        <f t="shared" si="42"/>
        <v/>
      </c>
      <c r="AO23" s="1" t="str">
        <f t="shared" si="43"/>
        <v/>
      </c>
      <c r="AP23" s="1" t="str">
        <f t="shared" si="44"/>
        <v/>
      </c>
      <c r="AQ23" s="1" t="str">
        <f t="shared" si="45"/>
        <v/>
      </c>
      <c r="AR23" s="202" t="str">
        <f t="shared" si="46"/>
        <v/>
      </c>
      <c r="AS23" s="147"/>
    </row>
    <row r="24" spans="1:48" s="215" customFormat="1" ht="17" thickBot="1" x14ac:dyDescent="0.25">
      <c r="A24" s="204" t="s">
        <v>74</v>
      </c>
      <c r="B24" s="205"/>
      <c r="C24" s="206"/>
      <c r="D24" s="207"/>
      <c r="E24" s="208"/>
      <c r="F24" s="207"/>
      <c r="G24" s="209">
        <f>MAX(G14:G23)</f>
        <v>5</v>
      </c>
      <c r="H24" s="210"/>
      <c r="I24" s="211"/>
      <c r="J24" s="211"/>
      <c r="K24" s="211"/>
      <c r="L24" s="211"/>
      <c r="M24" s="211"/>
      <c r="N24" s="211"/>
      <c r="O24" s="211"/>
      <c r="P24" s="211"/>
      <c r="Q24" s="211"/>
      <c r="R24" s="211"/>
      <c r="S24" s="211"/>
      <c r="T24" s="211"/>
      <c r="U24" s="211"/>
      <c r="V24" s="211"/>
      <c r="W24" s="211"/>
      <c r="X24" s="211"/>
      <c r="Y24" s="212"/>
      <c r="Z24" s="213"/>
      <c r="AA24" s="210">
        <f>IF(COUNTA(AA14:AA23)=COUNTIF(AA14:AA23,""), "",MAX(AA14:AA23))</f>
        <v>5</v>
      </c>
      <c r="AB24" s="211">
        <f t="shared" ref="AB24:AR24" si="49">IF(COUNTA(AB14:AB23)=COUNTIF(AB14:AB23,""), "",MAX(AB14:AB23))</f>
        <v>5</v>
      </c>
      <c r="AC24" s="211">
        <f t="shared" ref="AC24" si="50">IF(COUNTA(AC14:AC23)=COUNTIF(AC14:AC23,""), "",MAX(AC14:AC23))</f>
        <v>5</v>
      </c>
      <c r="AD24" s="211">
        <f t="shared" si="49"/>
        <v>5</v>
      </c>
      <c r="AE24" s="211">
        <f t="shared" si="49"/>
        <v>5</v>
      </c>
      <c r="AF24" s="211">
        <f t="shared" ref="AF24" si="51">IF(COUNTA(AF14:AF23)=COUNTIF(AF14:AF23,""), "",MAX(AF14:AF23))</f>
        <v>5</v>
      </c>
      <c r="AG24" s="211">
        <f t="shared" si="49"/>
        <v>5</v>
      </c>
      <c r="AH24" s="211">
        <f t="shared" si="49"/>
        <v>5</v>
      </c>
      <c r="AI24" s="211">
        <f t="shared" ref="AI24" si="52">IF(COUNTA(AI14:AI23)=COUNTIF(AI14:AI23,""), "",MAX(AI14:AI23))</f>
        <v>5</v>
      </c>
      <c r="AJ24" s="211">
        <f t="shared" si="49"/>
        <v>5</v>
      </c>
      <c r="AK24" s="211">
        <f t="shared" si="49"/>
        <v>2.5</v>
      </c>
      <c r="AL24" s="211">
        <f t="shared" ref="AL24" si="53">IF(COUNTA(AL14:AL23)=COUNTIF(AL14:AL23,""), "",MAX(AL14:AL23))</f>
        <v>2.5</v>
      </c>
      <c r="AM24" s="211">
        <f t="shared" si="49"/>
        <v>2.5</v>
      </c>
      <c r="AN24" s="211">
        <f t="shared" si="49"/>
        <v>2.5</v>
      </c>
      <c r="AO24" s="211">
        <f t="shared" si="49"/>
        <v>5</v>
      </c>
      <c r="AP24" s="211">
        <f t="shared" si="49"/>
        <v>5</v>
      </c>
      <c r="AQ24" s="211">
        <f t="shared" ref="AQ24" si="54">IF(COUNTA(AQ14:AQ23)=COUNTIF(AQ14:AQ23,""), "",MAX(AQ14:AQ23))</f>
        <v>5</v>
      </c>
      <c r="AR24" s="212">
        <f t="shared" si="49"/>
        <v>5</v>
      </c>
      <c r="AS24" s="214"/>
    </row>
    <row r="25" spans="1:48" ht="17" thickBot="1" x14ac:dyDescent="0.25">
      <c r="A25" s="216"/>
      <c r="B25" s="181" t="s">
        <v>189</v>
      </c>
      <c r="C25" s="217"/>
      <c r="D25" s="218"/>
      <c r="E25" s="219"/>
      <c r="F25" s="218"/>
      <c r="G25" s="220"/>
      <c r="H25" s="221"/>
      <c r="I25" s="203"/>
      <c r="J25" s="203"/>
      <c r="K25" s="203"/>
      <c r="L25" s="203"/>
      <c r="M25" s="203"/>
      <c r="N25" s="203"/>
      <c r="O25" s="203"/>
      <c r="P25" s="203"/>
      <c r="Q25" s="203"/>
      <c r="R25" s="203"/>
      <c r="S25" s="203"/>
      <c r="T25" s="203"/>
      <c r="U25" s="203"/>
      <c r="V25" s="203"/>
      <c r="W25" s="203"/>
      <c r="X25" s="203"/>
      <c r="Y25" s="222"/>
      <c r="Z25" s="203"/>
      <c r="AA25" s="221"/>
      <c r="AB25" s="203"/>
      <c r="AC25" s="203"/>
      <c r="AD25" s="203"/>
      <c r="AE25" s="203"/>
      <c r="AF25" s="203"/>
      <c r="AG25" s="203"/>
      <c r="AH25" s="203"/>
      <c r="AI25" s="203"/>
      <c r="AJ25" s="203"/>
      <c r="AK25" s="203"/>
      <c r="AL25" s="203"/>
      <c r="AM25" s="203"/>
      <c r="AN25" s="203"/>
      <c r="AO25" s="203"/>
      <c r="AP25" s="203"/>
      <c r="AQ25" s="203"/>
      <c r="AR25" s="222"/>
      <c r="AS25" s="147"/>
    </row>
    <row r="26" spans="1:48" x14ac:dyDescent="0.2">
      <c r="A26" s="188" t="s">
        <v>4</v>
      </c>
      <c r="B26" s="157" t="s">
        <v>24</v>
      </c>
      <c r="C26" s="189">
        <v>1</v>
      </c>
      <c r="D26" s="190">
        <f t="shared" ref="D26:D32" si="55">IF($C$111=0,0,ROUND(NORMDIST($C26,$C$111,((10-($E$111-1))/(COUNT(C$26:C$32)/2)),FALSE),2))</f>
        <v>0.05</v>
      </c>
      <c r="E26" s="191">
        <f t="shared" ref="E26:E32" si="56">IF(AND(NOT(C$111=C26),OR(E$111=10,C$111=0)),0,1)</f>
        <v>1</v>
      </c>
      <c r="F26" s="190">
        <f t="shared" ref="F26:F32" si="57">IF(NOT($C$111=0),ROUND(($D26-MIN(D$26:D$32))/(MAX(D$26:D$32)-MIN(D$26:D$32)),2),0)</f>
        <v>0.13</v>
      </c>
      <c r="G26" s="192">
        <f t="shared" ref="G26:G32" si="58">F26*D$111*E26</f>
        <v>1.17</v>
      </c>
      <c r="H26" s="193">
        <v>1</v>
      </c>
      <c r="I26" s="194">
        <v>1</v>
      </c>
      <c r="J26" s="194">
        <v>1</v>
      </c>
      <c r="K26" s="194">
        <v>1</v>
      </c>
      <c r="L26" s="194">
        <v>1</v>
      </c>
      <c r="M26" s="194">
        <v>1</v>
      </c>
      <c r="N26" s="194">
        <v>1</v>
      </c>
      <c r="O26" s="194">
        <v>1</v>
      </c>
      <c r="P26" s="194">
        <v>1</v>
      </c>
      <c r="Q26" s="194">
        <v>1</v>
      </c>
      <c r="R26" s="194">
        <v>1</v>
      </c>
      <c r="S26" s="194">
        <v>1</v>
      </c>
      <c r="T26" s="194">
        <v>1</v>
      </c>
      <c r="U26" s="194">
        <v>1</v>
      </c>
      <c r="V26" s="194">
        <v>0.25</v>
      </c>
      <c r="W26" s="194">
        <v>0.25</v>
      </c>
      <c r="X26" s="194">
        <v>0.25</v>
      </c>
      <c r="Y26" s="195">
        <v>0.25</v>
      </c>
      <c r="Z26" s="183"/>
      <c r="AA26" s="193">
        <f t="shared" ref="AA26:AJ32" si="59">IF($G26=0,"",ROUND(H26*$G26,2))</f>
        <v>1.17</v>
      </c>
      <c r="AB26" s="194">
        <f t="shared" si="59"/>
        <v>1.17</v>
      </c>
      <c r="AC26" s="194">
        <f t="shared" si="59"/>
        <v>1.17</v>
      </c>
      <c r="AD26" s="194">
        <f t="shared" si="59"/>
        <v>1.17</v>
      </c>
      <c r="AE26" s="194">
        <f t="shared" si="59"/>
        <v>1.17</v>
      </c>
      <c r="AF26" s="194">
        <f t="shared" si="59"/>
        <v>1.17</v>
      </c>
      <c r="AG26" s="194">
        <f t="shared" si="59"/>
        <v>1.17</v>
      </c>
      <c r="AH26" s="194">
        <f t="shared" si="59"/>
        <v>1.17</v>
      </c>
      <c r="AI26" s="194">
        <f t="shared" si="59"/>
        <v>1.17</v>
      </c>
      <c r="AJ26" s="194">
        <f t="shared" si="59"/>
        <v>1.17</v>
      </c>
      <c r="AK26" s="194">
        <f t="shared" ref="AK26:AR32" si="60">IF($G26=0,"",ROUND(R26*$G26,2))</f>
        <v>1.17</v>
      </c>
      <c r="AL26" s="194">
        <f t="shared" si="60"/>
        <v>1.17</v>
      </c>
      <c r="AM26" s="194">
        <f t="shared" si="60"/>
        <v>1.17</v>
      </c>
      <c r="AN26" s="194">
        <f t="shared" si="60"/>
        <v>1.17</v>
      </c>
      <c r="AO26" s="194">
        <f t="shared" si="60"/>
        <v>0.28999999999999998</v>
      </c>
      <c r="AP26" s="194">
        <f t="shared" si="60"/>
        <v>0.28999999999999998</v>
      </c>
      <c r="AQ26" s="194">
        <f t="shared" si="60"/>
        <v>0.28999999999999998</v>
      </c>
      <c r="AR26" s="195">
        <f t="shared" si="60"/>
        <v>0.28999999999999998</v>
      </c>
      <c r="AS26" s="147"/>
      <c r="AT26" s="147"/>
      <c r="AU26" s="147"/>
      <c r="AV26" s="147"/>
    </row>
    <row r="27" spans="1:48" x14ac:dyDescent="0.2">
      <c r="A27" s="196"/>
      <c r="B27" s="7" t="s">
        <v>25</v>
      </c>
      <c r="C27" s="197">
        <v>2</v>
      </c>
      <c r="D27" s="198">
        <f t="shared" si="55"/>
        <v>0.24</v>
      </c>
      <c r="E27" s="199">
        <f t="shared" si="56"/>
        <v>1</v>
      </c>
      <c r="F27" s="198">
        <f t="shared" si="57"/>
        <v>0.6</v>
      </c>
      <c r="G27" s="200">
        <f t="shared" si="58"/>
        <v>5.3999999999999995</v>
      </c>
      <c r="H27" s="201">
        <v>1</v>
      </c>
      <c r="I27" s="1">
        <v>1</v>
      </c>
      <c r="J27" s="1">
        <v>1</v>
      </c>
      <c r="K27" s="1">
        <v>1</v>
      </c>
      <c r="L27" s="1">
        <v>1</v>
      </c>
      <c r="M27" s="1">
        <v>1</v>
      </c>
      <c r="N27" s="1">
        <v>1</v>
      </c>
      <c r="O27" s="1">
        <v>1</v>
      </c>
      <c r="P27" s="1">
        <v>1</v>
      </c>
      <c r="Q27" s="1">
        <v>1</v>
      </c>
      <c r="R27" s="1">
        <v>1</v>
      </c>
      <c r="S27" s="1">
        <v>1</v>
      </c>
      <c r="T27" s="1">
        <v>1</v>
      </c>
      <c r="U27" s="1">
        <v>1</v>
      </c>
      <c r="V27" s="1">
        <v>1</v>
      </c>
      <c r="W27" s="1">
        <v>0.5</v>
      </c>
      <c r="X27" s="1">
        <v>0.5</v>
      </c>
      <c r="Y27" s="202">
        <v>0.5</v>
      </c>
      <c r="Z27" s="203"/>
      <c r="AA27" s="201">
        <f t="shared" si="59"/>
        <v>5.4</v>
      </c>
      <c r="AB27" s="1">
        <f t="shared" si="59"/>
        <v>5.4</v>
      </c>
      <c r="AC27" s="1">
        <f t="shared" si="59"/>
        <v>5.4</v>
      </c>
      <c r="AD27" s="1">
        <f t="shared" si="59"/>
        <v>5.4</v>
      </c>
      <c r="AE27" s="1">
        <f t="shared" si="59"/>
        <v>5.4</v>
      </c>
      <c r="AF27" s="1">
        <f t="shared" si="59"/>
        <v>5.4</v>
      </c>
      <c r="AG27" s="1">
        <f t="shared" si="59"/>
        <v>5.4</v>
      </c>
      <c r="AH27" s="1">
        <f t="shared" si="59"/>
        <v>5.4</v>
      </c>
      <c r="AI27" s="1">
        <f t="shared" si="59"/>
        <v>5.4</v>
      </c>
      <c r="AJ27" s="1">
        <f t="shared" si="59"/>
        <v>5.4</v>
      </c>
      <c r="AK27" s="1">
        <f t="shared" si="60"/>
        <v>5.4</v>
      </c>
      <c r="AL27" s="1">
        <f t="shared" si="60"/>
        <v>5.4</v>
      </c>
      <c r="AM27" s="1">
        <f t="shared" si="60"/>
        <v>5.4</v>
      </c>
      <c r="AN27" s="1">
        <f t="shared" si="60"/>
        <v>5.4</v>
      </c>
      <c r="AO27" s="1">
        <f t="shared" si="60"/>
        <v>5.4</v>
      </c>
      <c r="AP27" s="1">
        <f t="shared" si="60"/>
        <v>2.7</v>
      </c>
      <c r="AQ27" s="1">
        <f t="shared" si="60"/>
        <v>2.7</v>
      </c>
      <c r="AR27" s="202">
        <f t="shared" si="60"/>
        <v>2.7</v>
      </c>
      <c r="AS27" s="147"/>
      <c r="AT27" s="147"/>
      <c r="AU27" s="147"/>
      <c r="AV27" s="147"/>
    </row>
    <row r="28" spans="1:48" x14ac:dyDescent="0.2">
      <c r="A28" s="196"/>
      <c r="B28" s="7" t="s">
        <v>26</v>
      </c>
      <c r="C28" s="197">
        <v>3</v>
      </c>
      <c r="D28" s="198">
        <f t="shared" si="55"/>
        <v>0.4</v>
      </c>
      <c r="E28" s="199">
        <f t="shared" si="56"/>
        <v>1</v>
      </c>
      <c r="F28" s="198">
        <f t="shared" si="57"/>
        <v>1</v>
      </c>
      <c r="G28" s="200">
        <f t="shared" si="58"/>
        <v>9</v>
      </c>
      <c r="H28" s="201">
        <v>1</v>
      </c>
      <c r="I28" s="1">
        <v>1</v>
      </c>
      <c r="J28" s="1">
        <v>1</v>
      </c>
      <c r="K28" s="1">
        <v>1</v>
      </c>
      <c r="L28" s="1">
        <v>1</v>
      </c>
      <c r="M28" s="1">
        <v>1</v>
      </c>
      <c r="N28" s="1">
        <v>1</v>
      </c>
      <c r="O28" s="1">
        <v>1</v>
      </c>
      <c r="P28" s="1">
        <v>1</v>
      </c>
      <c r="Q28" s="1">
        <v>1</v>
      </c>
      <c r="R28" s="1">
        <v>1</v>
      </c>
      <c r="S28" s="1">
        <v>1</v>
      </c>
      <c r="T28" s="1">
        <v>1</v>
      </c>
      <c r="U28" s="1">
        <v>1</v>
      </c>
      <c r="V28" s="1">
        <v>1</v>
      </c>
      <c r="W28" s="1">
        <v>1</v>
      </c>
      <c r="X28" s="1">
        <v>1</v>
      </c>
      <c r="Y28" s="202">
        <v>1</v>
      </c>
      <c r="Z28" s="203"/>
      <c r="AA28" s="201">
        <f t="shared" si="59"/>
        <v>9</v>
      </c>
      <c r="AB28" s="1">
        <f t="shared" si="59"/>
        <v>9</v>
      </c>
      <c r="AC28" s="1">
        <f t="shared" si="59"/>
        <v>9</v>
      </c>
      <c r="AD28" s="1">
        <f t="shared" si="59"/>
        <v>9</v>
      </c>
      <c r="AE28" s="1">
        <f t="shared" si="59"/>
        <v>9</v>
      </c>
      <c r="AF28" s="1">
        <f t="shared" si="59"/>
        <v>9</v>
      </c>
      <c r="AG28" s="1">
        <f t="shared" si="59"/>
        <v>9</v>
      </c>
      <c r="AH28" s="1">
        <f t="shared" si="59"/>
        <v>9</v>
      </c>
      <c r="AI28" s="1">
        <f t="shared" si="59"/>
        <v>9</v>
      </c>
      <c r="AJ28" s="1">
        <f t="shared" si="59"/>
        <v>9</v>
      </c>
      <c r="AK28" s="1">
        <f t="shared" si="60"/>
        <v>9</v>
      </c>
      <c r="AL28" s="1">
        <f t="shared" si="60"/>
        <v>9</v>
      </c>
      <c r="AM28" s="1">
        <f t="shared" si="60"/>
        <v>9</v>
      </c>
      <c r="AN28" s="1">
        <f t="shared" si="60"/>
        <v>9</v>
      </c>
      <c r="AO28" s="1">
        <f t="shared" si="60"/>
        <v>9</v>
      </c>
      <c r="AP28" s="1">
        <f t="shared" si="60"/>
        <v>9</v>
      </c>
      <c r="AQ28" s="1">
        <f t="shared" si="60"/>
        <v>9</v>
      </c>
      <c r="AR28" s="202">
        <f t="shared" si="60"/>
        <v>9</v>
      </c>
      <c r="AS28" s="147"/>
      <c r="AT28" s="147"/>
      <c r="AU28" s="147"/>
      <c r="AV28" s="147"/>
    </row>
    <row r="29" spans="1:48" x14ac:dyDescent="0.2">
      <c r="A29" s="196"/>
      <c r="B29" s="7" t="s">
        <v>27</v>
      </c>
      <c r="C29" s="197">
        <v>4</v>
      </c>
      <c r="D29" s="198">
        <f t="shared" si="55"/>
        <v>0.24</v>
      </c>
      <c r="E29" s="199">
        <f t="shared" si="56"/>
        <v>1</v>
      </c>
      <c r="F29" s="198">
        <f t="shared" si="57"/>
        <v>0.6</v>
      </c>
      <c r="G29" s="200">
        <f t="shared" si="58"/>
        <v>5.3999999999999995</v>
      </c>
      <c r="H29" s="201">
        <v>1</v>
      </c>
      <c r="I29" s="1">
        <v>1</v>
      </c>
      <c r="J29" s="1">
        <v>1</v>
      </c>
      <c r="K29" s="1">
        <v>1</v>
      </c>
      <c r="L29" s="1">
        <v>1</v>
      </c>
      <c r="M29" s="1">
        <v>1</v>
      </c>
      <c r="N29" s="1">
        <v>1</v>
      </c>
      <c r="O29" s="1">
        <v>1</v>
      </c>
      <c r="P29" s="1">
        <v>1</v>
      </c>
      <c r="Q29" s="1">
        <v>1</v>
      </c>
      <c r="R29" s="1">
        <v>1</v>
      </c>
      <c r="S29" s="1">
        <v>1</v>
      </c>
      <c r="T29" s="1">
        <v>1</v>
      </c>
      <c r="U29" s="1">
        <v>1</v>
      </c>
      <c r="V29" s="1">
        <v>1</v>
      </c>
      <c r="W29" s="1">
        <v>1</v>
      </c>
      <c r="X29" s="1">
        <v>1</v>
      </c>
      <c r="Y29" s="202">
        <v>1</v>
      </c>
      <c r="Z29" s="203"/>
      <c r="AA29" s="201">
        <f t="shared" si="59"/>
        <v>5.4</v>
      </c>
      <c r="AB29" s="1">
        <f t="shared" si="59"/>
        <v>5.4</v>
      </c>
      <c r="AC29" s="1">
        <f t="shared" si="59"/>
        <v>5.4</v>
      </c>
      <c r="AD29" s="1">
        <f t="shared" si="59"/>
        <v>5.4</v>
      </c>
      <c r="AE29" s="1">
        <f t="shared" si="59"/>
        <v>5.4</v>
      </c>
      <c r="AF29" s="1">
        <f t="shared" si="59"/>
        <v>5.4</v>
      </c>
      <c r="AG29" s="1">
        <f t="shared" si="59"/>
        <v>5.4</v>
      </c>
      <c r="AH29" s="1">
        <f t="shared" si="59"/>
        <v>5.4</v>
      </c>
      <c r="AI29" s="1">
        <f t="shared" si="59"/>
        <v>5.4</v>
      </c>
      <c r="AJ29" s="1">
        <f t="shared" si="59"/>
        <v>5.4</v>
      </c>
      <c r="AK29" s="1">
        <f t="shared" si="60"/>
        <v>5.4</v>
      </c>
      <c r="AL29" s="1">
        <f t="shared" si="60"/>
        <v>5.4</v>
      </c>
      <c r="AM29" s="1">
        <f t="shared" si="60"/>
        <v>5.4</v>
      </c>
      <c r="AN29" s="1">
        <f t="shared" si="60"/>
        <v>5.4</v>
      </c>
      <c r="AO29" s="1">
        <f t="shared" si="60"/>
        <v>5.4</v>
      </c>
      <c r="AP29" s="1">
        <f t="shared" si="60"/>
        <v>5.4</v>
      </c>
      <c r="AQ29" s="1">
        <f t="shared" si="60"/>
        <v>5.4</v>
      </c>
      <c r="AR29" s="202">
        <f t="shared" si="60"/>
        <v>5.4</v>
      </c>
      <c r="AS29" s="147"/>
      <c r="AT29" s="147"/>
      <c r="AU29" s="147"/>
      <c r="AV29" s="147"/>
    </row>
    <row r="30" spans="1:48" x14ac:dyDescent="0.2">
      <c r="A30" s="196"/>
      <c r="B30" s="7" t="s">
        <v>28</v>
      </c>
      <c r="C30" s="197">
        <v>5</v>
      </c>
      <c r="D30" s="198">
        <f t="shared" si="55"/>
        <v>0.05</v>
      </c>
      <c r="E30" s="199">
        <f t="shared" si="56"/>
        <v>1</v>
      </c>
      <c r="F30" s="198">
        <f t="shared" si="57"/>
        <v>0.13</v>
      </c>
      <c r="G30" s="200">
        <f t="shared" si="58"/>
        <v>1.17</v>
      </c>
      <c r="H30" s="201">
        <v>1</v>
      </c>
      <c r="I30" s="1">
        <v>1</v>
      </c>
      <c r="J30" s="1">
        <v>1</v>
      </c>
      <c r="K30" s="1">
        <v>1</v>
      </c>
      <c r="L30" s="1">
        <v>1</v>
      </c>
      <c r="M30" s="1">
        <v>1</v>
      </c>
      <c r="N30" s="1">
        <v>1</v>
      </c>
      <c r="O30" s="1">
        <v>1</v>
      </c>
      <c r="P30" s="1">
        <v>1</v>
      </c>
      <c r="Q30" s="1">
        <v>1</v>
      </c>
      <c r="R30" s="1">
        <v>1</v>
      </c>
      <c r="S30" s="1">
        <v>1</v>
      </c>
      <c r="T30" s="1">
        <v>1</v>
      </c>
      <c r="U30" s="1">
        <v>1</v>
      </c>
      <c r="V30" s="1">
        <v>1</v>
      </c>
      <c r="W30" s="1">
        <v>1</v>
      </c>
      <c r="X30" s="1">
        <v>1</v>
      </c>
      <c r="Y30" s="202">
        <v>1</v>
      </c>
      <c r="Z30" s="203"/>
      <c r="AA30" s="201">
        <f t="shared" si="59"/>
        <v>1.17</v>
      </c>
      <c r="AB30" s="1">
        <f t="shared" si="59"/>
        <v>1.17</v>
      </c>
      <c r="AC30" s="1">
        <f t="shared" si="59"/>
        <v>1.17</v>
      </c>
      <c r="AD30" s="1">
        <f t="shared" si="59"/>
        <v>1.17</v>
      </c>
      <c r="AE30" s="1">
        <f t="shared" si="59"/>
        <v>1.17</v>
      </c>
      <c r="AF30" s="1">
        <f t="shared" si="59"/>
        <v>1.17</v>
      </c>
      <c r="AG30" s="1">
        <f t="shared" si="59"/>
        <v>1.17</v>
      </c>
      <c r="AH30" s="1">
        <f t="shared" si="59"/>
        <v>1.17</v>
      </c>
      <c r="AI30" s="1">
        <f t="shared" si="59"/>
        <v>1.17</v>
      </c>
      <c r="AJ30" s="1">
        <f t="shared" si="59"/>
        <v>1.17</v>
      </c>
      <c r="AK30" s="1">
        <f t="shared" si="60"/>
        <v>1.17</v>
      </c>
      <c r="AL30" s="1">
        <f t="shared" si="60"/>
        <v>1.17</v>
      </c>
      <c r="AM30" s="1">
        <f t="shared" si="60"/>
        <v>1.17</v>
      </c>
      <c r="AN30" s="1">
        <f t="shared" si="60"/>
        <v>1.17</v>
      </c>
      <c r="AO30" s="1">
        <f t="shared" si="60"/>
        <v>1.17</v>
      </c>
      <c r="AP30" s="1">
        <f t="shared" si="60"/>
        <v>1.17</v>
      </c>
      <c r="AQ30" s="1">
        <f t="shared" si="60"/>
        <v>1.17</v>
      </c>
      <c r="AR30" s="202">
        <f t="shared" si="60"/>
        <v>1.17</v>
      </c>
      <c r="AS30" s="147"/>
      <c r="AT30" s="147"/>
      <c r="AU30" s="147"/>
      <c r="AV30" s="147"/>
    </row>
    <row r="31" spans="1:48" x14ac:dyDescent="0.2">
      <c r="A31" s="196"/>
      <c r="B31" s="7" t="s">
        <v>29</v>
      </c>
      <c r="C31" s="197">
        <v>6</v>
      </c>
      <c r="D31" s="198">
        <f t="shared" si="55"/>
        <v>0</v>
      </c>
      <c r="E31" s="199">
        <f t="shared" si="56"/>
        <v>1</v>
      </c>
      <c r="F31" s="198">
        <f t="shared" si="57"/>
        <v>0</v>
      </c>
      <c r="G31" s="200">
        <f t="shared" si="58"/>
        <v>0</v>
      </c>
      <c r="H31" s="201">
        <v>1</v>
      </c>
      <c r="I31" s="1">
        <v>1</v>
      </c>
      <c r="J31" s="1">
        <v>1</v>
      </c>
      <c r="K31" s="1">
        <v>1</v>
      </c>
      <c r="L31" s="1">
        <v>1</v>
      </c>
      <c r="M31" s="1">
        <v>1</v>
      </c>
      <c r="N31" s="1">
        <v>1</v>
      </c>
      <c r="O31" s="1">
        <v>1</v>
      </c>
      <c r="P31" s="1">
        <v>1</v>
      </c>
      <c r="Q31" s="1">
        <v>1</v>
      </c>
      <c r="R31" s="1">
        <v>1</v>
      </c>
      <c r="S31" s="1">
        <v>1</v>
      </c>
      <c r="T31" s="1">
        <v>1</v>
      </c>
      <c r="U31" s="1">
        <v>1</v>
      </c>
      <c r="V31" s="1">
        <v>1</v>
      </c>
      <c r="W31" s="1">
        <v>1</v>
      </c>
      <c r="X31" s="1">
        <v>1</v>
      </c>
      <c r="Y31" s="202">
        <v>1</v>
      </c>
      <c r="Z31" s="203"/>
      <c r="AA31" s="201" t="str">
        <f t="shared" si="59"/>
        <v/>
      </c>
      <c r="AB31" s="1" t="str">
        <f t="shared" si="59"/>
        <v/>
      </c>
      <c r="AC31" s="1" t="str">
        <f t="shared" si="59"/>
        <v/>
      </c>
      <c r="AD31" s="1" t="str">
        <f t="shared" si="59"/>
        <v/>
      </c>
      <c r="AE31" s="1" t="str">
        <f t="shared" si="59"/>
        <v/>
      </c>
      <c r="AF31" s="1" t="str">
        <f t="shared" si="59"/>
        <v/>
      </c>
      <c r="AG31" s="1" t="str">
        <f t="shared" si="59"/>
        <v/>
      </c>
      <c r="AH31" s="1" t="str">
        <f t="shared" si="59"/>
        <v/>
      </c>
      <c r="AI31" s="1" t="str">
        <f t="shared" si="59"/>
        <v/>
      </c>
      <c r="AJ31" s="1" t="str">
        <f t="shared" si="59"/>
        <v/>
      </c>
      <c r="AK31" s="1" t="str">
        <f t="shared" si="60"/>
        <v/>
      </c>
      <c r="AL31" s="1" t="str">
        <f t="shared" si="60"/>
        <v/>
      </c>
      <c r="AM31" s="1" t="str">
        <f t="shared" si="60"/>
        <v/>
      </c>
      <c r="AN31" s="1" t="str">
        <f t="shared" si="60"/>
        <v/>
      </c>
      <c r="AO31" s="1" t="str">
        <f t="shared" si="60"/>
        <v/>
      </c>
      <c r="AP31" s="1" t="str">
        <f t="shared" si="60"/>
        <v/>
      </c>
      <c r="AQ31" s="1" t="str">
        <f t="shared" si="60"/>
        <v/>
      </c>
      <c r="AR31" s="202" t="str">
        <f t="shared" si="60"/>
        <v/>
      </c>
      <c r="AS31" s="147"/>
      <c r="AT31" s="147"/>
      <c r="AU31" s="147"/>
      <c r="AV31" s="147"/>
    </row>
    <row r="32" spans="1:48" ht="17" thickBot="1" x14ac:dyDescent="0.25">
      <c r="A32" s="196"/>
      <c r="B32" s="7" t="s">
        <v>17</v>
      </c>
      <c r="C32" s="197">
        <v>7</v>
      </c>
      <c r="D32" s="198">
        <f t="shared" si="55"/>
        <v>0</v>
      </c>
      <c r="E32" s="199">
        <f t="shared" si="56"/>
        <v>1</v>
      </c>
      <c r="F32" s="198">
        <f t="shared" si="57"/>
        <v>0</v>
      </c>
      <c r="G32" s="200">
        <f t="shared" si="58"/>
        <v>0</v>
      </c>
      <c r="H32" s="201">
        <v>1</v>
      </c>
      <c r="I32" s="1">
        <v>1</v>
      </c>
      <c r="J32" s="1">
        <v>1</v>
      </c>
      <c r="K32" s="1">
        <v>1</v>
      </c>
      <c r="L32" s="1">
        <v>1</v>
      </c>
      <c r="M32" s="1">
        <v>1</v>
      </c>
      <c r="N32" s="1">
        <v>1</v>
      </c>
      <c r="O32" s="1">
        <v>1</v>
      </c>
      <c r="P32" s="1">
        <v>1</v>
      </c>
      <c r="Q32" s="1">
        <v>1</v>
      </c>
      <c r="R32" s="1">
        <v>1</v>
      </c>
      <c r="S32" s="1">
        <v>1</v>
      </c>
      <c r="T32" s="1">
        <v>1</v>
      </c>
      <c r="U32" s="1">
        <v>1</v>
      </c>
      <c r="V32" s="1">
        <v>1</v>
      </c>
      <c r="W32" s="1">
        <v>1</v>
      </c>
      <c r="X32" s="1">
        <v>1</v>
      </c>
      <c r="Y32" s="202">
        <v>1</v>
      </c>
      <c r="Z32" s="203"/>
      <c r="AA32" s="201" t="str">
        <f t="shared" si="59"/>
        <v/>
      </c>
      <c r="AB32" s="1" t="str">
        <f t="shared" si="59"/>
        <v/>
      </c>
      <c r="AC32" s="1" t="str">
        <f t="shared" si="59"/>
        <v/>
      </c>
      <c r="AD32" s="1" t="str">
        <f t="shared" si="59"/>
        <v/>
      </c>
      <c r="AE32" s="1" t="str">
        <f t="shared" si="59"/>
        <v/>
      </c>
      <c r="AF32" s="1" t="str">
        <f t="shared" si="59"/>
        <v/>
      </c>
      <c r="AG32" s="1" t="str">
        <f t="shared" si="59"/>
        <v/>
      </c>
      <c r="AH32" s="1" t="str">
        <f t="shared" si="59"/>
        <v/>
      </c>
      <c r="AI32" s="1" t="str">
        <f t="shared" si="59"/>
        <v/>
      </c>
      <c r="AJ32" s="1" t="str">
        <f t="shared" si="59"/>
        <v/>
      </c>
      <c r="AK32" s="1" t="str">
        <f t="shared" si="60"/>
        <v/>
      </c>
      <c r="AL32" s="1" t="str">
        <f t="shared" si="60"/>
        <v/>
      </c>
      <c r="AM32" s="1" t="str">
        <f t="shared" si="60"/>
        <v/>
      </c>
      <c r="AN32" s="1" t="str">
        <f t="shared" si="60"/>
        <v/>
      </c>
      <c r="AO32" s="1" t="str">
        <f t="shared" si="60"/>
        <v/>
      </c>
      <c r="AP32" s="1" t="str">
        <f t="shared" si="60"/>
        <v/>
      </c>
      <c r="AQ32" s="1" t="str">
        <f t="shared" si="60"/>
        <v/>
      </c>
      <c r="AR32" s="202" t="str">
        <f t="shared" si="60"/>
        <v/>
      </c>
      <c r="AS32" s="147"/>
      <c r="AT32" s="147"/>
      <c r="AU32" s="147"/>
      <c r="AV32" s="147"/>
    </row>
    <row r="33" spans="1:48" s="215" customFormat="1" ht="17" thickBot="1" x14ac:dyDescent="0.25">
      <c r="A33" s="204" t="s">
        <v>74</v>
      </c>
      <c r="B33" s="205"/>
      <c r="C33" s="206"/>
      <c r="D33" s="207"/>
      <c r="E33" s="208"/>
      <c r="F33" s="207"/>
      <c r="G33" s="209">
        <f>MAX(G26:G32)</f>
        <v>9</v>
      </c>
      <c r="H33" s="210"/>
      <c r="I33" s="211"/>
      <c r="J33" s="211"/>
      <c r="K33" s="211"/>
      <c r="L33" s="211"/>
      <c r="M33" s="211"/>
      <c r="N33" s="211"/>
      <c r="O33" s="211"/>
      <c r="P33" s="211"/>
      <c r="Q33" s="211"/>
      <c r="R33" s="211"/>
      <c r="S33" s="211"/>
      <c r="T33" s="211"/>
      <c r="U33" s="211"/>
      <c r="V33" s="211"/>
      <c r="W33" s="211"/>
      <c r="X33" s="211"/>
      <c r="Y33" s="212"/>
      <c r="Z33" s="213"/>
      <c r="AA33" s="210">
        <f>IF(COUNTA(AA26:AA32)=COUNTIF(AA26:AA32,""), "",MAX(AA26:AA32))</f>
        <v>9</v>
      </c>
      <c r="AB33" s="211">
        <f t="shared" ref="AB33:AR33" si="61">IF(COUNTA(AB26:AB32)=COUNTIF(AB26:AB32,""), "",MAX(AB26:AB32))</f>
        <v>9</v>
      </c>
      <c r="AC33" s="211">
        <f t="shared" ref="AC33" si="62">IF(COUNTA(AC26:AC32)=COUNTIF(AC26:AC32,""), "",MAX(AC26:AC32))</f>
        <v>9</v>
      </c>
      <c r="AD33" s="211">
        <f t="shared" si="61"/>
        <v>9</v>
      </c>
      <c r="AE33" s="211">
        <f t="shared" si="61"/>
        <v>9</v>
      </c>
      <c r="AF33" s="211">
        <f t="shared" ref="AF33" si="63">IF(COUNTA(AF26:AF32)=COUNTIF(AF26:AF32,""), "",MAX(AF26:AF32))</f>
        <v>9</v>
      </c>
      <c r="AG33" s="211">
        <f t="shared" si="61"/>
        <v>9</v>
      </c>
      <c r="AH33" s="211">
        <f t="shared" si="61"/>
        <v>9</v>
      </c>
      <c r="AI33" s="211">
        <f t="shared" ref="AI33" si="64">IF(COUNTA(AI26:AI32)=COUNTIF(AI26:AI32,""), "",MAX(AI26:AI32))</f>
        <v>9</v>
      </c>
      <c r="AJ33" s="211">
        <f t="shared" si="61"/>
        <v>9</v>
      </c>
      <c r="AK33" s="211">
        <f t="shared" si="61"/>
        <v>9</v>
      </c>
      <c r="AL33" s="211">
        <f t="shared" ref="AL33" si="65">IF(COUNTA(AL26:AL32)=COUNTIF(AL26:AL32,""), "",MAX(AL26:AL32))</f>
        <v>9</v>
      </c>
      <c r="AM33" s="211">
        <f t="shared" si="61"/>
        <v>9</v>
      </c>
      <c r="AN33" s="211">
        <f t="shared" si="61"/>
        <v>9</v>
      </c>
      <c r="AO33" s="211">
        <f t="shared" si="61"/>
        <v>9</v>
      </c>
      <c r="AP33" s="211">
        <f t="shared" si="61"/>
        <v>9</v>
      </c>
      <c r="AQ33" s="211">
        <f t="shared" ref="AQ33" si="66">IF(COUNTA(AQ26:AQ32)=COUNTIF(AQ26:AQ32,""), "",MAX(AQ26:AQ32))</f>
        <v>9</v>
      </c>
      <c r="AR33" s="212">
        <f t="shared" si="61"/>
        <v>9</v>
      </c>
      <c r="AS33" s="214"/>
      <c r="AT33" s="214"/>
      <c r="AU33" s="214"/>
      <c r="AV33" s="214"/>
    </row>
    <row r="34" spans="1:48" ht="17" thickBot="1" x14ac:dyDescent="0.25">
      <c r="A34" s="216"/>
      <c r="B34" s="181" t="s">
        <v>189</v>
      </c>
      <c r="C34" s="217"/>
      <c r="D34" s="218"/>
      <c r="E34" s="219"/>
      <c r="F34" s="218"/>
      <c r="G34" s="220"/>
      <c r="H34" s="221"/>
      <c r="I34" s="203"/>
      <c r="J34" s="203"/>
      <c r="K34" s="203"/>
      <c r="L34" s="203"/>
      <c r="M34" s="203"/>
      <c r="N34" s="203"/>
      <c r="O34" s="203"/>
      <c r="P34" s="203"/>
      <c r="Q34" s="203"/>
      <c r="R34" s="203"/>
      <c r="S34" s="203"/>
      <c r="T34" s="203"/>
      <c r="U34" s="203"/>
      <c r="V34" s="203"/>
      <c r="W34" s="203"/>
      <c r="X34" s="203"/>
      <c r="Y34" s="222"/>
      <c r="Z34" s="203"/>
      <c r="AA34" s="221"/>
      <c r="AB34" s="203"/>
      <c r="AC34" s="203"/>
      <c r="AD34" s="203"/>
      <c r="AE34" s="203"/>
      <c r="AF34" s="203"/>
      <c r="AG34" s="203"/>
      <c r="AH34" s="203"/>
      <c r="AI34" s="203"/>
      <c r="AJ34" s="203"/>
      <c r="AK34" s="203"/>
      <c r="AL34" s="203"/>
      <c r="AM34" s="203"/>
      <c r="AN34" s="203"/>
      <c r="AO34" s="203"/>
      <c r="AP34" s="203"/>
      <c r="AQ34" s="203"/>
      <c r="AR34" s="222"/>
      <c r="AS34" s="147"/>
      <c r="AT34" s="147"/>
      <c r="AU34" s="147"/>
      <c r="AV34" s="147"/>
    </row>
    <row r="35" spans="1:48" x14ac:dyDescent="0.2">
      <c r="A35" s="188" t="s">
        <v>5</v>
      </c>
      <c r="B35" s="157" t="s">
        <v>30</v>
      </c>
      <c r="C35" s="189">
        <v>1</v>
      </c>
      <c r="D35" s="190">
        <f t="shared" ref="D35:D44" si="67">IF($C$112=0,0,ROUND(NORMDIST($C35,$C$112,((10-($E$112-1))/(COUNT(C$35:C$44)/2)),FALSE),2))</f>
        <v>0.23</v>
      </c>
      <c r="E35" s="191">
        <f t="shared" ref="E35:E44" si="68">IF(AND(NOT(C$112=C35),OR(E$112=10,C$112=0)),0,1)</f>
        <v>1</v>
      </c>
      <c r="F35" s="190">
        <f t="shared" ref="F35:F44" si="69">IF(NOT($C$112=0),ROUND(($D35/MAX(D$35:D$44)),2),0)</f>
        <v>0.7</v>
      </c>
      <c r="G35" s="192">
        <f t="shared" ref="G35:G44" si="70">F35*D$112*E35</f>
        <v>6.3</v>
      </c>
      <c r="H35" s="193">
        <v>1</v>
      </c>
      <c r="I35" s="194">
        <v>1</v>
      </c>
      <c r="J35" s="194">
        <v>1</v>
      </c>
      <c r="K35" s="194">
        <v>1</v>
      </c>
      <c r="L35" s="194">
        <v>1</v>
      </c>
      <c r="M35" s="194">
        <v>1</v>
      </c>
      <c r="N35" s="194">
        <v>1</v>
      </c>
      <c r="O35" s="194">
        <v>1</v>
      </c>
      <c r="P35" s="194">
        <v>1</v>
      </c>
      <c r="Q35" s="194">
        <v>1</v>
      </c>
      <c r="R35" s="194">
        <v>1</v>
      </c>
      <c r="S35" s="194">
        <v>1</v>
      </c>
      <c r="T35" s="194">
        <v>1</v>
      </c>
      <c r="U35" s="194">
        <v>1</v>
      </c>
      <c r="V35" s="194">
        <v>1</v>
      </c>
      <c r="W35" s="194">
        <v>0.25</v>
      </c>
      <c r="X35" s="194">
        <v>0.25</v>
      </c>
      <c r="Y35" s="195">
        <v>1</v>
      </c>
      <c r="Z35" s="183"/>
      <c r="AA35" s="193">
        <f t="shared" ref="AA35:AA44" si="71">IF($G35=0,"",ROUND(H35*$G35,2))</f>
        <v>6.3</v>
      </c>
      <c r="AB35" s="194">
        <f t="shared" ref="AB35:AB44" si="72">IF($G35=0,"",ROUND(I35*$G35,2))</f>
        <v>6.3</v>
      </c>
      <c r="AC35" s="194">
        <f t="shared" ref="AC35:AC44" si="73">IF($G35=0,"",ROUND(J35*$G35,2))</f>
        <v>6.3</v>
      </c>
      <c r="AD35" s="194">
        <f t="shared" ref="AD35:AD44" si="74">IF($G35=0,"",ROUND(K35*$G35,2))</f>
        <v>6.3</v>
      </c>
      <c r="AE35" s="194">
        <f t="shared" ref="AE35:AE44" si="75">IF($G35=0,"",ROUND(L35*$G35,2))</f>
        <v>6.3</v>
      </c>
      <c r="AF35" s="194">
        <f t="shared" ref="AF35:AF44" si="76">IF($G35=0,"",ROUND(M35*$G35,2))</f>
        <v>6.3</v>
      </c>
      <c r="AG35" s="194">
        <f t="shared" ref="AG35:AG44" si="77">IF($G35=0,"",ROUND(N35*$G35,2))</f>
        <v>6.3</v>
      </c>
      <c r="AH35" s="194">
        <f t="shared" ref="AH35:AH44" si="78">IF($G35=0,"",ROUND(O35*$G35,2))</f>
        <v>6.3</v>
      </c>
      <c r="AI35" s="194">
        <f t="shared" ref="AI35:AI44" si="79">IF($G35=0,"",ROUND(P35*$G35,2))</f>
        <v>6.3</v>
      </c>
      <c r="AJ35" s="194">
        <f t="shared" ref="AJ35:AJ44" si="80">IF($G35=0,"",ROUND(Q35*$G35,2))</f>
        <v>6.3</v>
      </c>
      <c r="AK35" s="194">
        <f t="shared" ref="AK35:AK44" si="81">IF($G35=0,"",ROUND(R35*$G35,2))</f>
        <v>6.3</v>
      </c>
      <c r="AL35" s="194">
        <f t="shared" ref="AL35:AL44" si="82">IF($G35=0,"",ROUND(S35*$G35,2))</f>
        <v>6.3</v>
      </c>
      <c r="AM35" s="194">
        <f t="shared" ref="AM35:AM44" si="83">IF($G35=0,"",ROUND(T35*$G35,2))</f>
        <v>6.3</v>
      </c>
      <c r="AN35" s="194">
        <f t="shared" ref="AN35:AN44" si="84">IF($G35=0,"",ROUND(U35*$G35,2))</f>
        <v>6.3</v>
      </c>
      <c r="AO35" s="194">
        <f t="shared" ref="AO35:AO44" si="85">IF($G35=0,"",ROUND(V35*$G35,2))</f>
        <v>6.3</v>
      </c>
      <c r="AP35" s="194">
        <f t="shared" ref="AP35:AP44" si="86">IF($G35=0,"",ROUND(W35*$G35,2))</f>
        <v>1.58</v>
      </c>
      <c r="AQ35" s="194">
        <f t="shared" ref="AQ35:AQ44" si="87">IF($G35=0,"",ROUND(X35*$G35,2))</f>
        <v>1.58</v>
      </c>
      <c r="AR35" s="195">
        <f t="shared" ref="AR35:AR44" si="88">IF($G35=0,"",ROUND(Y35*$G35,2))</f>
        <v>6.3</v>
      </c>
      <c r="AS35" s="147"/>
      <c r="AT35" s="147"/>
      <c r="AU35" s="147"/>
      <c r="AV35" s="147"/>
    </row>
    <row r="36" spans="1:48" x14ac:dyDescent="0.2">
      <c r="A36" s="196"/>
      <c r="B36" s="7" t="s">
        <v>31</v>
      </c>
      <c r="C36" s="197">
        <v>2</v>
      </c>
      <c r="D36" s="198">
        <f t="shared" si="67"/>
        <v>0.33</v>
      </c>
      <c r="E36" s="199">
        <f t="shared" si="68"/>
        <v>1</v>
      </c>
      <c r="F36" s="198">
        <f t="shared" si="69"/>
        <v>1</v>
      </c>
      <c r="G36" s="200">
        <f t="shared" si="70"/>
        <v>9</v>
      </c>
      <c r="H36" s="201">
        <v>1</v>
      </c>
      <c r="I36" s="1">
        <v>1</v>
      </c>
      <c r="J36" s="1">
        <v>1</v>
      </c>
      <c r="K36" s="1">
        <v>1</v>
      </c>
      <c r="L36" s="1">
        <v>1</v>
      </c>
      <c r="M36" s="1">
        <v>1</v>
      </c>
      <c r="N36" s="1">
        <v>1</v>
      </c>
      <c r="O36" s="1">
        <v>1</v>
      </c>
      <c r="P36" s="1">
        <v>1</v>
      </c>
      <c r="Q36" s="1">
        <v>1</v>
      </c>
      <c r="R36" s="1">
        <v>1</v>
      </c>
      <c r="S36" s="1">
        <v>1</v>
      </c>
      <c r="T36" s="1">
        <v>1</v>
      </c>
      <c r="U36" s="1">
        <v>1</v>
      </c>
      <c r="V36" s="1">
        <v>1</v>
      </c>
      <c r="W36" s="1">
        <v>0.5</v>
      </c>
      <c r="X36" s="1">
        <v>0.5</v>
      </c>
      <c r="Y36" s="202">
        <v>1</v>
      </c>
      <c r="Z36" s="203"/>
      <c r="AA36" s="201">
        <f t="shared" si="71"/>
        <v>9</v>
      </c>
      <c r="AB36" s="1">
        <f t="shared" si="72"/>
        <v>9</v>
      </c>
      <c r="AC36" s="1">
        <f t="shared" si="73"/>
        <v>9</v>
      </c>
      <c r="AD36" s="1">
        <f t="shared" si="74"/>
        <v>9</v>
      </c>
      <c r="AE36" s="1">
        <f t="shared" si="75"/>
        <v>9</v>
      </c>
      <c r="AF36" s="1">
        <f t="shared" si="76"/>
        <v>9</v>
      </c>
      <c r="AG36" s="1">
        <f t="shared" si="77"/>
        <v>9</v>
      </c>
      <c r="AH36" s="1">
        <f t="shared" si="78"/>
        <v>9</v>
      </c>
      <c r="AI36" s="1">
        <f t="shared" si="79"/>
        <v>9</v>
      </c>
      <c r="AJ36" s="1">
        <f t="shared" si="80"/>
        <v>9</v>
      </c>
      <c r="AK36" s="1">
        <f t="shared" si="81"/>
        <v>9</v>
      </c>
      <c r="AL36" s="1">
        <f t="shared" si="82"/>
        <v>9</v>
      </c>
      <c r="AM36" s="1">
        <f t="shared" si="83"/>
        <v>9</v>
      </c>
      <c r="AN36" s="1">
        <f t="shared" si="84"/>
        <v>9</v>
      </c>
      <c r="AO36" s="1">
        <f t="shared" si="85"/>
        <v>9</v>
      </c>
      <c r="AP36" s="1">
        <f t="shared" si="86"/>
        <v>4.5</v>
      </c>
      <c r="AQ36" s="1">
        <f t="shared" si="87"/>
        <v>4.5</v>
      </c>
      <c r="AR36" s="202">
        <f t="shared" si="88"/>
        <v>9</v>
      </c>
      <c r="AS36" s="147"/>
      <c r="AT36" s="147"/>
      <c r="AU36" s="147"/>
      <c r="AV36" s="147"/>
    </row>
    <row r="37" spans="1:48" x14ac:dyDescent="0.2">
      <c r="A37" s="196"/>
      <c r="B37" s="7" t="s">
        <v>32</v>
      </c>
      <c r="C37" s="197">
        <v>3</v>
      </c>
      <c r="D37" s="198">
        <f t="shared" si="67"/>
        <v>0.23</v>
      </c>
      <c r="E37" s="199">
        <f t="shared" si="68"/>
        <v>1</v>
      </c>
      <c r="F37" s="198">
        <f t="shared" si="69"/>
        <v>0.7</v>
      </c>
      <c r="G37" s="200">
        <f t="shared" si="70"/>
        <v>6.3</v>
      </c>
      <c r="H37" s="201">
        <v>1</v>
      </c>
      <c r="I37" s="1">
        <v>1</v>
      </c>
      <c r="J37" s="1">
        <v>1</v>
      </c>
      <c r="K37" s="1">
        <v>1</v>
      </c>
      <c r="L37" s="1">
        <v>1</v>
      </c>
      <c r="M37" s="1">
        <v>1</v>
      </c>
      <c r="N37" s="1">
        <v>1</v>
      </c>
      <c r="O37" s="1">
        <v>1</v>
      </c>
      <c r="P37" s="1">
        <v>1</v>
      </c>
      <c r="Q37" s="1">
        <v>1</v>
      </c>
      <c r="R37" s="1">
        <v>1</v>
      </c>
      <c r="S37" s="1">
        <v>1</v>
      </c>
      <c r="T37" s="1">
        <v>1</v>
      </c>
      <c r="U37" s="1">
        <v>1</v>
      </c>
      <c r="V37" s="1">
        <v>0</v>
      </c>
      <c r="W37" s="1">
        <v>1</v>
      </c>
      <c r="X37" s="1">
        <v>1</v>
      </c>
      <c r="Y37" s="202">
        <v>0</v>
      </c>
      <c r="Z37" s="203"/>
      <c r="AA37" s="201">
        <f t="shared" si="71"/>
        <v>6.3</v>
      </c>
      <c r="AB37" s="1">
        <f t="shared" si="72"/>
        <v>6.3</v>
      </c>
      <c r="AC37" s="1">
        <f t="shared" si="73"/>
        <v>6.3</v>
      </c>
      <c r="AD37" s="1">
        <f t="shared" si="74"/>
        <v>6.3</v>
      </c>
      <c r="AE37" s="1">
        <f t="shared" si="75"/>
        <v>6.3</v>
      </c>
      <c r="AF37" s="1">
        <f t="shared" si="76"/>
        <v>6.3</v>
      </c>
      <c r="AG37" s="1">
        <f t="shared" si="77"/>
        <v>6.3</v>
      </c>
      <c r="AH37" s="1">
        <f t="shared" si="78"/>
        <v>6.3</v>
      </c>
      <c r="AI37" s="1">
        <f t="shared" si="79"/>
        <v>6.3</v>
      </c>
      <c r="AJ37" s="1">
        <f t="shared" si="80"/>
        <v>6.3</v>
      </c>
      <c r="AK37" s="1">
        <f t="shared" si="81"/>
        <v>6.3</v>
      </c>
      <c r="AL37" s="1">
        <f t="shared" si="82"/>
        <v>6.3</v>
      </c>
      <c r="AM37" s="1">
        <f t="shared" si="83"/>
        <v>6.3</v>
      </c>
      <c r="AN37" s="1">
        <f t="shared" si="84"/>
        <v>6.3</v>
      </c>
      <c r="AO37" s="1">
        <f t="shared" si="85"/>
        <v>0</v>
      </c>
      <c r="AP37" s="1">
        <f t="shared" si="86"/>
        <v>6.3</v>
      </c>
      <c r="AQ37" s="1">
        <f t="shared" si="87"/>
        <v>6.3</v>
      </c>
      <c r="AR37" s="202">
        <f t="shared" si="88"/>
        <v>0</v>
      </c>
      <c r="AS37" s="147"/>
      <c r="AT37" s="147"/>
      <c r="AU37" s="147"/>
      <c r="AV37" s="147"/>
    </row>
    <row r="38" spans="1:48" x14ac:dyDescent="0.2">
      <c r="A38" s="196"/>
      <c r="B38" s="7" t="s">
        <v>33</v>
      </c>
      <c r="C38" s="197">
        <v>4</v>
      </c>
      <c r="D38" s="198">
        <f t="shared" si="67"/>
        <v>0.08</v>
      </c>
      <c r="E38" s="199">
        <f t="shared" si="68"/>
        <v>1</v>
      </c>
      <c r="F38" s="198">
        <f t="shared" si="69"/>
        <v>0.24</v>
      </c>
      <c r="G38" s="200">
        <f t="shared" si="70"/>
        <v>2.16</v>
      </c>
      <c r="H38" s="201">
        <v>1</v>
      </c>
      <c r="I38" s="1">
        <v>1</v>
      </c>
      <c r="J38" s="1">
        <v>1</v>
      </c>
      <c r="K38" s="1">
        <v>1</v>
      </c>
      <c r="L38" s="1">
        <v>1</v>
      </c>
      <c r="M38" s="1">
        <v>1</v>
      </c>
      <c r="N38" s="1">
        <v>1</v>
      </c>
      <c r="O38" s="1">
        <v>1</v>
      </c>
      <c r="P38" s="1">
        <v>1</v>
      </c>
      <c r="Q38" s="1">
        <v>1</v>
      </c>
      <c r="R38" s="1">
        <v>1</v>
      </c>
      <c r="S38" s="1">
        <v>1</v>
      </c>
      <c r="T38" s="1">
        <v>1</v>
      </c>
      <c r="U38" s="1">
        <v>1</v>
      </c>
      <c r="V38" s="1">
        <v>0.5</v>
      </c>
      <c r="W38" s="1">
        <v>1</v>
      </c>
      <c r="X38" s="1">
        <v>1</v>
      </c>
      <c r="Y38" s="202">
        <v>0</v>
      </c>
      <c r="Z38" s="203"/>
      <c r="AA38" s="201">
        <f t="shared" si="71"/>
        <v>2.16</v>
      </c>
      <c r="AB38" s="1">
        <f t="shared" si="72"/>
        <v>2.16</v>
      </c>
      <c r="AC38" s="1">
        <f t="shared" si="73"/>
        <v>2.16</v>
      </c>
      <c r="AD38" s="1">
        <f t="shared" si="74"/>
        <v>2.16</v>
      </c>
      <c r="AE38" s="1">
        <f t="shared" si="75"/>
        <v>2.16</v>
      </c>
      <c r="AF38" s="1">
        <f t="shared" si="76"/>
        <v>2.16</v>
      </c>
      <c r="AG38" s="1">
        <f t="shared" si="77"/>
        <v>2.16</v>
      </c>
      <c r="AH38" s="1">
        <f t="shared" si="78"/>
        <v>2.16</v>
      </c>
      <c r="AI38" s="1">
        <f t="shared" si="79"/>
        <v>2.16</v>
      </c>
      <c r="AJ38" s="1">
        <f t="shared" si="80"/>
        <v>2.16</v>
      </c>
      <c r="AK38" s="1">
        <f t="shared" si="81"/>
        <v>2.16</v>
      </c>
      <c r="AL38" s="1">
        <f t="shared" si="82"/>
        <v>2.16</v>
      </c>
      <c r="AM38" s="1">
        <f t="shared" si="83"/>
        <v>2.16</v>
      </c>
      <c r="AN38" s="1">
        <f t="shared" si="84"/>
        <v>2.16</v>
      </c>
      <c r="AO38" s="1">
        <f t="shared" si="85"/>
        <v>1.08</v>
      </c>
      <c r="AP38" s="1">
        <f t="shared" si="86"/>
        <v>2.16</v>
      </c>
      <c r="AQ38" s="1">
        <f t="shared" si="87"/>
        <v>2.16</v>
      </c>
      <c r="AR38" s="202">
        <f t="shared" si="88"/>
        <v>0</v>
      </c>
      <c r="AS38" s="147"/>
      <c r="AT38" s="147"/>
      <c r="AU38" s="147"/>
      <c r="AV38" s="147"/>
    </row>
    <row r="39" spans="1:48" x14ac:dyDescent="0.2">
      <c r="A39" s="196"/>
      <c r="B39" s="7" t="s">
        <v>34</v>
      </c>
      <c r="C39" s="197">
        <v>5</v>
      </c>
      <c r="D39" s="198">
        <f t="shared" si="67"/>
        <v>0.01</v>
      </c>
      <c r="E39" s="199">
        <f t="shared" si="68"/>
        <v>1</v>
      </c>
      <c r="F39" s="198">
        <f t="shared" si="69"/>
        <v>0.03</v>
      </c>
      <c r="G39" s="200">
        <f t="shared" si="70"/>
        <v>0.27</v>
      </c>
      <c r="H39" s="201">
        <v>1</v>
      </c>
      <c r="I39" s="1">
        <v>1</v>
      </c>
      <c r="J39" s="1">
        <v>1</v>
      </c>
      <c r="K39" s="1">
        <v>1</v>
      </c>
      <c r="L39" s="1">
        <v>1</v>
      </c>
      <c r="M39" s="1">
        <v>1</v>
      </c>
      <c r="N39" s="1">
        <v>1</v>
      </c>
      <c r="O39" s="1">
        <v>1</v>
      </c>
      <c r="P39" s="1">
        <v>1</v>
      </c>
      <c r="Q39" s="1">
        <v>1</v>
      </c>
      <c r="R39" s="1">
        <v>1</v>
      </c>
      <c r="S39" s="1">
        <v>1</v>
      </c>
      <c r="T39" s="1">
        <v>1</v>
      </c>
      <c r="U39" s="1">
        <v>1</v>
      </c>
      <c r="V39" s="1">
        <v>1</v>
      </c>
      <c r="W39" s="1">
        <v>1</v>
      </c>
      <c r="X39" s="1">
        <v>1</v>
      </c>
      <c r="Y39" s="202">
        <v>1</v>
      </c>
      <c r="Z39" s="203"/>
      <c r="AA39" s="201">
        <f t="shared" si="71"/>
        <v>0.27</v>
      </c>
      <c r="AB39" s="1">
        <f t="shared" si="72"/>
        <v>0.27</v>
      </c>
      <c r="AC39" s="1">
        <f t="shared" si="73"/>
        <v>0.27</v>
      </c>
      <c r="AD39" s="1">
        <f t="shared" si="74"/>
        <v>0.27</v>
      </c>
      <c r="AE39" s="1">
        <f t="shared" si="75"/>
        <v>0.27</v>
      </c>
      <c r="AF39" s="1">
        <f t="shared" si="76"/>
        <v>0.27</v>
      </c>
      <c r="AG39" s="1">
        <f t="shared" si="77"/>
        <v>0.27</v>
      </c>
      <c r="AH39" s="1">
        <f t="shared" si="78"/>
        <v>0.27</v>
      </c>
      <c r="AI39" s="1">
        <f t="shared" si="79"/>
        <v>0.27</v>
      </c>
      <c r="AJ39" s="1">
        <f t="shared" si="80"/>
        <v>0.27</v>
      </c>
      <c r="AK39" s="1">
        <f t="shared" si="81"/>
        <v>0.27</v>
      </c>
      <c r="AL39" s="1">
        <f t="shared" si="82"/>
        <v>0.27</v>
      </c>
      <c r="AM39" s="1">
        <f t="shared" si="83"/>
        <v>0.27</v>
      </c>
      <c r="AN39" s="1">
        <f t="shared" si="84"/>
        <v>0.27</v>
      </c>
      <c r="AO39" s="1">
        <f t="shared" si="85"/>
        <v>0.27</v>
      </c>
      <c r="AP39" s="1">
        <f t="shared" si="86"/>
        <v>0.27</v>
      </c>
      <c r="AQ39" s="1">
        <f t="shared" si="87"/>
        <v>0.27</v>
      </c>
      <c r="AR39" s="202">
        <f t="shared" si="88"/>
        <v>0.27</v>
      </c>
      <c r="AS39" s="147"/>
      <c r="AT39" s="147"/>
      <c r="AU39" s="147"/>
      <c r="AV39" s="147"/>
    </row>
    <row r="40" spans="1:48" x14ac:dyDescent="0.2">
      <c r="A40" s="196"/>
      <c r="B40" s="7" t="s">
        <v>35</v>
      </c>
      <c r="C40" s="197">
        <v>6</v>
      </c>
      <c r="D40" s="198">
        <f t="shared" si="67"/>
        <v>0</v>
      </c>
      <c r="E40" s="199">
        <f t="shared" si="68"/>
        <v>1</v>
      </c>
      <c r="F40" s="198">
        <f t="shared" si="69"/>
        <v>0</v>
      </c>
      <c r="G40" s="200">
        <f t="shared" si="70"/>
        <v>0</v>
      </c>
      <c r="H40" s="201">
        <v>1</v>
      </c>
      <c r="I40" s="1">
        <v>1</v>
      </c>
      <c r="J40" s="1">
        <v>1</v>
      </c>
      <c r="K40" s="1">
        <v>1</v>
      </c>
      <c r="L40" s="1">
        <v>1</v>
      </c>
      <c r="M40" s="1">
        <v>1</v>
      </c>
      <c r="N40" s="1">
        <v>1</v>
      </c>
      <c r="O40" s="1">
        <v>1</v>
      </c>
      <c r="P40" s="1">
        <v>1</v>
      </c>
      <c r="Q40" s="1">
        <v>1</v>
      </c>
      <c r="R40" s="1">
        <v>1</v>
      </c>
      <c r="S40" s="1">
        <v>1</v>
      </c>
      <c r="T40" s="1">
        <v>1</v>
      </c>
      <c r="U40" s="1">
        <v>1</v>
      </c>
      <c r="V40" s="1">
        <v>1</v>
      </c>
      <c r="W40" s="1">
        <v>1</v>
      </c>
      <c r="X40" s="1">
        <v>1</v>
      </c>
      <c r="Y40" s="202">
        <v>1</v>
      </c>
      <c r="Z40" s="203"/>
      <c r="AA40" s="201" t="str">
        <f t="shared" si="71"/>
        <v/>
      </c>
      <c r="AB40" s="1" t="str">
        <f t="shared" si="72"/>
        <v/>
      </c>
      <c r="AC40" s="1" t="str">
        <f t="shared" si="73"/>
        <v/>
      </c>
      <c r="AD40" s="1" t="str">
        <f t="shared" si="74"/>
        <v/>
      </c>
      <c r="AE40" s="1" t="str">
        <f t="shared" si="75"/>
        <v/>
      </c>
      <c r="AF40" s="1" t="str">
        <f t="shared" si="76"/>
        <v/>
      </c>
      <c r="AG40" s="1" t="str">
        <f t="shared" si="77"/>
        <v/>
      </c>
      <c r="AH40" s="1" t="str">
        <f t="shared" si="78"/>
        <v/>
      </c>
      <c r="AI40" s="1" t="str">
        <f t="shared" si="79"/>
        <v/>
      </c>
      <c r="AJ40" s="1" t="str">
        <f t="shared" si="80"/>
        <v/>
      </c>
      <c r="AK40" s="1" t="str">
        <f t="shared" si="81"/>
        <v/>
      </c>
      <c r="AL40" s="1" t="str">
        <f t="shared" si="82"/>
        <v/>
      </c>
      <c r="AM40" s="1" t="str">
        <f t="shared" si="83"/>
        <v/>
      </c>
      <c r="AN40" s="1" t="str">
        <f t="shared" si="84"/>
        <v/>
      </c>
      <c r="AO40" s="1" t="str">
        <f t="shared" si="85"/>
        <v/>
      </c>
      <c r="AP40" s="1" t="str">
        <f t="shared" si="86"/>
        <v/>
      </c>
      <c r="AQ40" s="1" t="str">
        <f t="shared" si="87"/>
        <v/>
      </c>
      <c r="AR40" s="202" t="str">
        <f t="shared" si="88"/>
        <v/>
      </c>
      <c r="AS40" s="147"/>
      <c r="AT40" s="147"/>
      <c r="AU40" s="147"/>
      <c r="AV40" s="147"/>
    </row>
    <row r="41" spans="1:48" x14ac:dyDescent="0.2">
      <c r="A41" s="196"/>
      <c r="B41" s="7" t="s">
        <v>36</v>
      </c>
      <c r="C41" s="197">
        <v>7</v>
      </c>
      <c r="D41" s="198">
        <f t="shared" si="67"/>
        <v>0</v>
      </c>
      <c r="E41" s="199">
        <f t="shared" si="68"/>
        <v>1</v>
      </c>
      <c r="F41" s="198">
        <f t="shared" si="69"/>
        <v>0</v>
      </c>
      <c r="G41" s="200">
        <f t="shared" si="70"/>
        <v>0</v>
      </c>
      <c r="H41" s="201">
        <v>1</v>
      </c>
      <c r="I41" s="1">
        <v>1</v>
      </c>
      <c r="J41" s="1">
        <v>1</v>
      </c>
      <c r="K41" s="1">
        <v>1</v>
      </c>
      <c r="L41" s="1">
        <v>1</v>
      </c>
      <c r="M41" s="1">
        <v>1</v>
      </c>
      <c r="N41" s="1">
        <v>1</v>
      </c>
      <c r="O41" s="1">
        <v>1</v>
      </c>
      <c r="P41" s="1">
        <v>1</v>
      </c>
      <c r="Q41" s="1">
        <v>1</v>
      </c>
      <c r="R41" s="1">
        <v>1</v>
      </c>
      <c r="S41" s="1">
        <v>1</v>
      </c>
      <c r="T41" s="1">
        <v>1</v>
      </c>
      <c r="U41" s="1">
        <v>1</v>
      </c>
      <c r="V41" s="1">
        <v>1</v>
      </c>
      <c r="W41" s="1">
        <v>1</v>
      </c>
      <c r="X41" s="1">
        <v>1</v>
      </c>
      <c r="Y41" s="202">
        <v>1</v>
      </c>
      <c r="Z41" s="203"/>
      <c r="AA41" s="201" t="str">
        <f t="shared" si="71"/>
        <v/>
      </c>
      <c r="AB41" s="1" t="str">
        <f t="shared" si="72"/>
        <v/>
      </c>
      <c r="AC41" s="1" t="str">
        <f t="shared" si="73"/>
        <v/>
      </c>
      <c r="AD41" s="1" t="str">
        <f t="shared" si="74"/>
        <v/>
      </c>
      <c r="AE41" s="1" t="str">
        <f t="shared" si="75"/>
        <v/>
      </c>
      <c r="AF41" s="1" t="str">
        <f t="shared" si="76"/>
        <v/>
      </c>
      <c r="AG41" s="1" t="str">
        <f t="shared" si="77"/>
        <v/>
      </c>
      <c r="AH41" s="1" t="str">
        <f t="shared" si="78"/>
        <v/>
      </c>
      <c r="AI41" s="1" t="str">
        <f t="shared" si="79"/>
        <v/>
      </c>
      <c r="AJ41" s="1" t="str">
        <f t="shared" si="80"/>
        <v/>
      </c>
      <c r="AK41" s="1" t="str">
        <f t="shared" si="81"/>
        <v/>
      </c>
      <c r="AL41" s="1" t="str">
        <f t="shared" si="82"/>
        <v/>
      </c>
      <c r="AM41" s="1" t="str">
        <f t="shared" si="83"/>
        <v/>
      </c>
      <c r="AN41" s="1" t="str">
        <f t="shared" si="84"/>
        <v/>
      </c>
      <c r="AO41" s="1" t="str">
        <f t="shared" si="85"/>
        <v/>
      </c>
      <c r="AP41" s="1" t="str">
        <f t="shared" si="86"/>
        <v/>
      </c>
      <c r="AQ41" s="1" t="str">
        <f t="shared" si="87"/>
        <v/>
      </c>
      <c r="AR41" s="202" t="str">
        <f t="shared" si="88"/>
        <v/>
      </c>
      <c r="AS41" s="147"/>
      <c r="AT41" s="147"/>
      <c r="AU41" s="147"/>
      <c r="AV41" s="147"/>
    </row>
    <row r="42" spans="1:48" x14ac:dyDescent="0.2">
      <c r="A42" s="196"/>
      <c r="B42" s="7" t="s">
        <v>37</v>
      </c>
      <c r="C42" s="197">
        <v>8</v>
      </c>
      <c r="D42" s="198">
        <f t="shared" si="67"/>
        <v>0</v>
      </c>
      <c r="E42" s="199">
        <f t="shared" si="68"/>
        <v>1</v>
      </c>
      <c r="F42" s="198">
        <f t="shared" si="69"/>
        <v>0</v>
      </c>
      <c r="G42" s="200">
        <f t="shared" si="70"/>
        <v>0</v>
      </c>
      <c r="H42" s="201">
        <v>1</v>
      </c>
      <c r="I42" s="1">
        <v>1</v>
      </c>
      <c r="J42" s="1">
        <v>1</v>
      </c>
      <c r="K42" s="1">
        <v>1</v>
      </c>
      <c r="L42" s="1">
        <v>1</v>
      </c>
      <c r="M42" s="1">
        <v>1</v>
      </c>
      <c r="N42" s="1">
        <v>1</v>
      </c>
      <c r="O42" s="1">
        <v>1</v>
      </c>
      <c r="P42" s="1">
        <v>1</v>
      </c>
      <c r="Q42" s="1">
        <v>1</v>
      </c>
      <c r="R42" s="1">
        <v>1</v>
      </c>
      <c r="S42" s="1">
        <v>1</v>
      </c>
      <c r="T42" s="1">
        <v>1</v>
      </c>
      <c r="U42" s="1">
        <v>1</v>
      </c>
      <c r="V42" s="1">
        <v>1</v>
      </c>
      <c r="W42" s="1">
        <v>1</v>
      </c>
      <c r="X42" s="1">
        <v>1</v>
      </c>
      <c r="Y42" s="202">
        <v>1</v>
      </c>
      <c r="Z42" s="203"/>
      <c r="AA42" s="201" t="str">
        <f t="shared" si="71"/>
        <v/>
      </c>
      <c r="AB42" s="1" t="str">
        <f t="shared" si="72"/>
        <v/>
      </c>
      <c r="AC42" s="1" t="str">
        <f t="shared" si="73"/>
        <v/>
      </c>
      <c r="AD42" s="1" t="str">
        <f t="shared" si="74"/>
        <v/>
      </c>
      <c r="AE42" s="1" t="str">
        <f t="shared" si="75"/>
        <v/>
      </c>
      <c r="AF42" s="1" t="str">
        <f t="shared" si="76"/>
        <v/>
      </c>
      <c r="AG42" s="1" t="str">
        <f t="shared" si="77"/>
        <v/>
      </c>
      <c r="AH42" s="1" t="str">
        <f t="shared" si="78"/>
        <v/>
      </c>
      <c r="AI42" s="1" t="str">
        <f t="shared" si="79"/>
        <v/>
      </c>
      <c r="AJ42" s="1" t="str">
        <f t="shared" si="80"/>
        <v/>
      </c>
      <c r="AK42" s="1" t="str">
        <f t="shared" si="81"/>
        <v/>
      </c>
      <c r="AL42" s="1" t="str">
        <f t="shared" si="82"/>
        <v/>
      </c>
      <c r="AM42" s="1" t="str">
        <f t="shared" si="83"/>
        <v/>
      </c>
      <c r="AN42" s="1" t="str">
        <f t="shared" si="84"/>
        <v/>
      </c>
      <c r="AO42" s="1" t="str">
        <f t="shared" si="85"/>
        <v/>
      </c>
      <c r="AP42" s="1" t="str">
        <f t="shared" si="86"/>
        <v/>
      </c>
      <c r="AQ42" s="1" t="str">
        <f t="shared" si="87"/>
        <v/>
      </c>
      <c r="AR42" s="202" t="str">
        <f t="shared" si="88"/>
        <v/>
      </c>
      <c r="AS42" s="147"/>
      <c r="AT42" s="147"/>
      <c r="AU42" s="147"/>
      <c r="AV42" s="147"/>
    </row>
    <row r="43" spans="1:48" x14ac:dyDescent="0.2">
      <c r="A43" s="196"/>
      <c r="B43" s="7" t="s">
        <v>38</v>
      </c>
      <c r="C43" s="197">
        <v>9</v>
      </c>
      <c r="D43" s="198">
        <f t="shared" si="67"/>
        <v>0</v>
      </c>
      <c r="E43" s="199">
        <f t="shared" si="68"/>
        <v>1</v>
      </c>
      <c r="F43" s="198">
        <f t="shared" si="69"/>
        <v>0</v>
      </c>
      <c r="G43" s="200">
        <f t="shared" si="70"/>
        <v>0</v>
      </c>
      <c r="H43" s="201">
        <v>1</v>
      </c>
      <c r="I43" s="1">
        <v>1</v>
      </c>
      <c r="J43" s="1">
        <v>1</v>
      </c>
      <c r="K43" s="1">
        <v>1</v>
      </c>
      <c r="L43" s="1">
        <v>1</v>
      </c>
      <c r="M43" s="1">
        <v>1</v>
      </c>
      <c r="N43" s="1">
        <v>1</v>
      </c>
      <c r="O43" s="1">
        <v>1</v>
      </c>
      <c r="P43" s="1">
        <v>1</v>
      </c>
      <c r="Q43" s="1">
        <v>1</v>
      </c>
      <c r="R43" s="1">
        <v>1</v>
      </c>
      <c r="S43" s="1">
        <v>1</v>
      </c>
      <c r="T43" s="1">
        <v>1</v>
      </c>
      <c r="U43" s="1">
        <v>1</v>
      </c>
      <c r="V43" s="1">
        <v>1</v>
      </c>
      <c r="W43" s="1">
        <v>1</v>
      </c>
      <c r="X43" s="1">
        <v>1</v>
      </c>
      <c r="Y43" s="202">
        <v>1</v>
      </c>
      <c r="Z43" s="203"/>
      <c r="AA43" s="201" t="str">
        <f t="shared" si="71"/>
        <v/>
      </c>
      <c r="AB43" s="1" t="str">
        <f t="shared" si="72"/>
        <v/>
      </c>
      <c r="AC43" s="1" t="str">
        <f t="shared" si="73"/>
        <v/>
      </c>
      <c r="AD43" s="1" t="str">
        <f t="shared" si="74"/>
        <v/>
      </c>
      <c r="AE43" s="1" t="str">
        <f t="shared" si="75"/>
        <v/>
      </c>
      <c r="AF43" s="1" t="str">
        <f t="shared" si="76"/>
        <v/>
      </c>
      <c r="AG43" s="1" t="str">
        <f t="shared" si="77"/>
        <v/>
      </c>
      <c r="AH43" s="1" t="str">
        <f t="shared" si="78"/>
        <v/>
      </c>
      <c r="AI43" s="1" t="str">
        <f t="shared" si="79"/>
        <v/>
      </c>
      <c r="AJ43" s="1" t="str">
        <f t="shared" si="80"/>
        <v/>
      </c>
      <c r="AK43" s="1" t="str">
        <f t="shared" si="81"/>
        <v/>
      </c>
      <c r="AL43" s="1" t="str">
        <f t="shared" si="82"/>
        <v/>
      </c>
      <c r="AM43" s="1" t="str">
        <f t="shared" si="83"/>
        <v/>
      </c>
      <c r="AN43" s="1" t="str">
        <f t="shared" si="84"/>
        <v/>
      </c>
      <c r="AO43" s="1" t="str">
        <f t="shared" si="85"/>
        <v/>
      </c>
      <c r="AP43" s="1" t="str">
        <f t="shared" si="86"/>
        <v/>
      </c>
      <c r="AQ43" s="1" t="str">
        <f t="shared" si="87"/>
        <v/>
      </c>
      <c r="AR43" s="202" t="str">
        <f t="shared" si="88"/>
        <v/>
      </c>
      <c r="AS43" s="147"/>
      <c r="AT43" s="147"/>
      <c r="AU43" s="147"/>
      <c r="AV43" s="147"/>
    </row>
    <row r="44" spans="1:48" ht="17" thickBot="1" x14ac:dyDescent="0.25">
      <c r="A44" s="196"/>
      <c r="B44" s="7" t="s">
        <v>39</v>
      </c>
      <c r="C44" s="197">
        <v>10</v>
      </c>
      <c r="D44" s="198">
        <f t="shared" si="67"/>
        <v>0</v>
      </c>
      <c r="E44" s="199">
        <f t="shared" si="68"/>
        <v>1</v>
      </c>
      <c r="F44" s="198">
        <f t="shared" si="69"/>
        <v>0</v>
      </c>
      <c r="G44" s="200">
        <f t="shared" si="70"/>
        <v>0</v>
      </c>
      <c r="H44" s="201">
        <v>1</v>
      </c>
      <c r="I44" s="1">
        <v>1</v>
      </c>
      <c r="J44" s="1">
        <v>1</v>
      </c>
      <c r="K44" s="1">
        <v>1</v>
      </c>
      <c r="L44" s="1">
        <v>1</v>
      </c>
      <c r="M44" s="1">
        <v>1</v>
      </c>
      <c r="N44" s="1">
        <v>1</v>
      </c>
      <c r="O44" s="1">
        <v>1</v>
      </c>
      <c r="P44" s="1">
        <v>1</v>
      </c>
      <c r="Q44" s="1">
        <v>1</v>
      </c>
      <c r="R44" s="1">
        <v>1</v>
      </c>
      <c r="S44" s="1">
        <v>1</v>
      </c>
      <c r="T44" s="1">
        <v>1</v>
      </c>
      <c r="U44" s="1">
        <v>1</v>
      </c>
      <c r="V44" s="1">
        <v>1</v>
      </c>
      <c r="W44" s="1">
        <v>1</v>
      </c>
      <c r="X44" s="1">
        <v>1</v>
      </c>
      <c r="Y44" s="202">
        <v>1</v>
      </c>
      <c r="Z44" s="203"/>
      <c r="AA44" s="201" t="str">
        <f t="shared" si="71"/>
        <v/>
      </c>
      <c r="AB44" s="1" t="str">
        <f t="shared" si="72"/>
        <v/>
      </c>
      <c r="AC44" s="1" t="str">
        <f t="shared" si="73"/>
        <v/>
      </c>
      <c r="AD44" s="1" t="str">
        <f t="shared" si="74"/>
        <v/>
      </c>
      <c r="AE44" s="1" t="str">
        <f t="shared" si="75"/>
        <v/>
      </c>
      <c r="AF44" s="1" t="str">
        <f t="shared" si="76"/>
        <v/>
      </c>
      <c r="AG44" s="1" t="str">
        <f t="shared" si="77"/>
        <v/>
      </c>
      <c r="AH44" s="1" t="str">
        <f t="shared" si="78"/>
        <v/>
      </c>
      <c r="AI44" s="1" t="str">
        <f t="shared" si="79"/>
        <v/>
      </c>
      <c r="AJ44" s="1" t="str">
        <f t="shared" si="80"/>
        <v/>
      </c>
      <c r="AK44" s="1" t="str">
        <f t="shared" si="81"/>
        <v/>
      </c>
      <c r="AL44" s="1" t="str">
        <f t="shared" si="82"/>
        <v/>
      </c>
      <c r="AM44" s="1" t="str">
        <f t="shared" si="83"/>
        <v/>
      </c>
      <c r="AN44" s="1" t="str">
        <f t="shared" si="84"/>
        <v/>
      </c>
      <c r="AO44" s="1" t="str">
        <f t="shared" si="85"/>
        <v/>
      </c>
      <c r="AP44" s="1" t="str">
        <f t="shared" si="86"/>
        <v/>
      </c>
      <c r="AQ44" s="1" t="str">
        <f t="shared" si="87"/>
        <v/>
      </c>
      <c r="AR44" s="202" t="str">
        <f t="shared" si="88"/>
        <v/>
      </c>
      <c r="AS44" s="147"/>
      <c r="AT44" s="147"/>
      <c r="AU44" s="147"/>
      <c r="AV44" s="147"/>
    </row>
    <row r="45" spans="1:48" s="215" customFormat="1" ht="17" thickBot="1" x14ac:dyDescent="0.25">
      <c r="A45" s="204" t="s">
        <v>74</v>
      </c>
      <c r="B45" s="205"/>
      <c r="C45" s="206"/>
      <c r="D45" s="207"/>
      <c r="E45" s="208"/>
      <c r="F45" s="207"/>
      <c r="G45" s="209">
        <f>MAX(G35:G44)</f>
        <v>9</v>
      </c>
      <c r="H45" s="210"/>
      <c r="I45" s="211"/>
      <c r="J45" s="211"/>
      <c r="K45" s="211"/>
      <c r="L45" s="211"/>
      <c r="M45" s="211"/>
      <c r="N45" s="211"/>
      <c r="O45" s="211"/>
      <c r="P45" s="211"/>
      <c r="Q45" s="211"/>
      <c r="R45" s="211"/>
      <c r="S45" s="211"/>
      <c r="T45" s="211"/>
      <c r="U45" s="211"/>
      <c r="V45" s="211"/>
      <c r="W45" s="211"/>
      <c r="X45" s="211"/>
      <c r="Y45" s="212"/>
      <c r="Z45" s="213"/>
      <c r="AA45" s="210">
        <f>IF(COUNTA(AA35:AA44)=COUNTIF(AA35:AA44,""), "",MAX(AA35:AA44))</f>
        <v>9</v>
      </c>
      <c r="AB45" s="211">
        <f t="shared" ref="AB45:AR45" si="89">IF(COUNTA(AB35:AB44)=COUNTIF(AB35:AB44,""), "",MAX(AB35:AB44))</f>
        <v>9</v>
      </c>
      <c r="AC45" s="211">
        <f t="shared" ref="AC45" si="90">IF(COUNTA(AC35:AC44)=COUNTIF(AC35:AC44,""), "",MAX(AC35:AC44))</f>
        <v>9</v>
      </c>
      <c r="AD45" s="211">
        <f t="shared" si="89"/>
        <v>9</v>
      </c>
      <c r="AE45" s="211">
        <f t="shared" si="89"/>
        <v>9</v>
      </c>
      <c r="AF45" s="211">
        <f t="shared" ref="AF45" si="91">IF(COUNTA(AF35:AF44)=COUNTIF(AF35:AF44,""), "",MAX(AF35:AF44))</f>
        <v>9</v>
      </c>
      <c r="AG45" s="211">
        <f t="shared" si="89"/>
        <v>9</v>
      </c>
      <c r="AH45" s="211">
        <f t="shared" si="89"/>
        <v>9</v>
      </c>
      <c r="AI45" s="211">
        <f t="shared" ref="AI45" si="92">IF(COUNTA(AI35:AI44)=COUNTIF(AI35:AI44,""), "",MAX(AI35:AI44))</f>
        <v>9</v>
      </c>
      <c r="AJ45" s="211">
        <f t="shared" si="89"/>
        <v>9</v>
      </c>
      <c r="AK45" s="211">
        <f t="shared" si="89"/>
        <v>9</v>
      </c>
      <c r="AL45" s="211">
        <f t="shared" si="89"/>
        <v>9</v>
      </c>
      <c r="AM45" s="211">
        <f t="shared" si="89"/>
        <v>9</v>
      </c>
      <c r="AN45" s="211">
        <f t="shared" si="89"/>
        <v>9</v>
      </c>
      <c r="AO45" s="211">
        <f t="shared" si="89"/>
        <v>9</v>
      </c>
      <c r="AP45" s="211">
        <f t="shared" si="89"/>
        <v>6.3</v>
      </c>
      <c r="AQ45" s="211">
        <f t="shared" si="89"/>
        <v>6.3</v>
      </c>
      <c r="AR45" s="212">
        <f t="shared" si="89"/>
        <v>9</v>
      </c>
      <c r="AS45" s="214"/>
      <c r="AT45" s="214"/>
      <c r="AU45" s="214"/>
      <c r="AV45" s="214"/>
    </row>
    <row r="46" spans="1:48" ht="17" thickBot="1" x14ac:dyDescent="0.25">
      <c r="A46" s="216"/>
      <c r="B46" s="181" t="s">
        <v>189</v>
      </c>
      <c r="C46" s="217"/>
      <c r="D46" s="218"/>
      <c r="E46" s="219"/>
      <c r="F46" s="218"/>
      <c r="G46" s="220"/>
      <c r="H46" s="221"/>
      <c r="I46" s="203"/>
      <c r="J46" s="203"/>
      <c r="K46" s="203"/>
      <c r="L46" s="203"/>
      <c r="M46" s="203"/>
      <c r="N46" s="203"/>
      <c r="O46" s="203"/>
      <c r="P46" s="203"/>
      <c r="Q46" s="203"/>
      <c r="R46" s="203"/>
      <c r="S46" s="203"/>
      <c r="T46" s="203"/>
      <c r="U46" s="203"/>
      <c r="V46" s="203"/>
      <c r="W46" s="203"/>
      <c r="X46" s="203"/>
      <c r="Y46" s="222"/>
      <c r="Z46" s="203"/>
      <c r="AA46" s="221"/>
      <c r="AB46" s="203"/>
      <c r="AC46" s="203"/>
      <c r="AD46" s="203"/>
      <c r="AE46" s="203"/>
      <c r="AF46" s="203"/>
      <c r="AG46" s="203"/>
      <c r="AH46" s="203"/>
      <c r="AI46" s="203"/>
      <c r="AJ46" s="203"/>
      <c r="AK46" s="203"/>
      <c r="AL46" s="203"/>
      <c r="AM46" s="203"/>
      <c r="AN46" s="203"/>
      <c r="AO46" s="203"/>
      <c r="AP46" s="203"/>
      <c r="AQ46" s="203"/>
      <c r="AR46" s="222"/>
      <c r="AS46" s="147"/>
      <c r="AT46" s="147"/>
      <c r="AU46" s="147"/>
      <c r="AV46" s="147"/>
    </row>
    <row r="47" spans="1:48" x14ac:dyDescent="0.2">
      <c r="A47" s="188" t="s">
        <v>112</v>
      </c>
      <c r="B47" s="157" t="s">
        <v>40</v>
      </c>
      <c r="C47" s="189">
        <v>1</v>
      </c>
      <c r="D47" s="190">
        <f>IF($C$113=0,0,ROUND(NORMDIST($C47,$C$113,((10-($E$113-1))/(COUNT(C$47:C$51)/2)),FALSE),2))</f>
        <v>0.15</v>
      </c>
      <c r="E47" s="191">
        <f>IF(AND(NOT(C$113=C47),OR(E$113=10,C$113=0)),0,1)</f>
        <v>1</v>
      </c>
      <c r="F47" s="190">
        <f>IF(NOT($C$113=0),ROUND(($D47/MAX(D$47:D$51)),2),0)</f>
        <v>0.88</v>
      </c>
      <c r="G47" s="192">
        <f>F47*D$113*E47</f>
        <v>4.4000000000000004</v>
      </c>
      <c r="H47" s="193">
        <v>1</v>
      </c>
      <c r="I47" s="194">
        <v>1</v>
      </c>
      <c r="J47" s="194">
        <v>1</v>
      </c>
      <c r="K47" s="194">
        <v>1</v>
      </c>
      <c r="L47" s="194">
        <v>1</v>
      </c>
      <c r="M47" s="194">
        <v>1</v>
      </c>
      <c r="N47" s="194">
        <v>1</v>
      </c>
      <c r="O47" s="194">
        <v>0.5</v>
      </c>
      <c r="P47" s="194">
        <v>0.5</v>
      </c>
      <c r="Q47" s="194">
        <v>1</v>
      </c>
      <c r="R47" s="194">
        <v>0.5</v>
      </c>
      <c r="S47" s="194">
        <v>0.5</v>
      </c>
      <c r="T47" s="194">
        <v>1</v>
      </c>
      <c r="U47" s="194">
        <v>0.5</v>
      </c>
      <c r="V47" s="194">
        <v>0</v>
      </c>
      <c r="W47" s="194">
        <v>0</v>
      </c>
      <c r="X47" s="194">
        <v>0</v>
      </c>
      <c r="Y47" s="195">
        <v>0</v>
      </c>
      <c r="Z47" s="183"/>
      <c r="AA47" s="193">
        <f t="shared" ref="AA47:AJ51" si="93">IF($G47=0,"",ROUND(H47*$G47,2))</f>
        <v>4.4000000000000004</v>
      </c>
      <c r="AB47" s="194">
        <f t="shared" si="93"/>
        <v>4.4000000000000004</v>
      </c>
      <c r="AC47" s="194">
        <f t="shared" si="93"/>
        <v>4.4000000000000004</v>
      </c>
      <c r="AD47" s="194">
        <f t="shared" si="93"/>
        <v>4.4000000000000004</v>
      </c>
      <c r="AE47" s="194">
        <f t="shared" si="93"/>
        <v>4.4000000000000004</v>
      </c>
      <c r="AF47" s="194">
        <f t="shared" si="93"/>
        <v>4.4000000000000004</v>
      </c>
      <c r="AG47" s="194">
        <f t="shared" si="93"/>
        <v>4.4000000000000004</v>
      </c>
      <c r="AH47" s="194">
        <f t="shared" si="93"/>
        <v>2.2000000000000002</v>
      </c>
      <c r="AI47" s="194">
        <f t="shared" si="93"/>
        <v>2.2000000000000002</v>
      </c>
      <c r="AJ47" s="194">
        <f t="shared" si="93"/>
        <v>4.4000000000000004</v>
      </c>
      <c r="AK47" s="194">
        <f t="shared" ref="AK47:AR51" si="94">IF($G47=0,"",ROUND(R47*$G47,2))</f>
        <v>2.2000000000000002</v>
      </c>
      <c r="AL47" s="194">
        <f t="shared" si="94"/>
        <v>2.2000000000000002</v>
      </c>
      <c r="AM47" s="194">
        <f t="shared" si="94"/>
        <v>4.4000000000000004</v>
      </c>
      <c r="AN47" s="194">
        <f t="shared" si="94"/>
        <v>2.2000000000000002</v>
      </c>
      <c r="AO47" s="194">
        <f t="shared" si="94"/>
        <v>0</v>
      </c>
      <c r="AP47" s="194">
        <f t="shared" si="94"/>
        <v>0</v>
      </c>
      <c r="AQ47" s="194">
        <f t="shared" si="94"/>
        <v>0</v>
      </c>
      <c r="AR47" s="195">
        <f t="shared" si="94"/>
        <v>0</v>
      </c>
      <c r="AS47" s="147"/>
      <c r="AT47" s="147"/>
      <c r="AU47" s="147"/>
      <c r="AV47" s="147"/>
    </row>
    <row r="48" spans="1:48" x14ac:dyDescent="0.2">
      <c r="A48" s="196"/>
      <c r="B48" s="7" t="s">
        <v>41</v>
      </c>
      <c r="C48" s="197">
        <v>2</v>
      </c>
      <c r="D48" s="198">
        <f>IF($C$113=0,0,ROUND(NORMDIST($C48,$C$113,((10-($E$113-1))/(COUNT(C$47:C$51)/2)),FALSE),2))</f>
        <v>0.17</v>
      </c>
      <c r="E48" s="199">
        <f>IF(AND(NOT(C$113=C48),OR(E$113=10,C$113=0)),0,1)</f>
        <v>1</v>
      </c>
      <c r="F48" s="198">
        <f>IF(NOT($C$113=0),ROUND(($D48/MAX(D$47:D$51)),2),0)</f>
        <v>1</v>
      </c>
      <c r="G48" s="200">
        <f>F48*D$113*E48</f>
        <v>5</v>
      </c>
      <c r="H48" s="201">
        <v>1</v>
      </c>
      <c r="I48" s="1">
        <v>1</v>
      </c>
      <c r="J48" s="1">
        <v>1</v>
      </c>
      <c r="K48" s="1">
        <v>1</v>
      </c>
      <c r="L48" s="1">
        <v>1</v>
      </c>
      <c r="M48" s="1">
        <v>1</v>
      </c>
      <c r="N48" s="1">
        <v>1</v>
      </c>
      <c r="O48" s="1">
        <v>0.5</v>
      </c>
      <c r="P48" s="1">
        <v>0.5</v>
      </c>
      <c r="Q48" s="1">
        <v>1</v>
      </c>
      <c r="R48" s="1">
        <v>0.5</v>
      </c>
      <c r="S48" s="1">
        <v>0.5</v>
      </c>
      <c r="T48" s="1">
        <v>1</v>
      </c>
      <c r="U48" s="1">
        <v>0.5</v>
      </c>
      <c r="V48" s="1">
        <v>0</v>
      </c>
      <c r="W48" s="1">
        <v>0</v>
      </c>
      <c r="X48" s="1">
        <v>0</v>
      </c>
      <c r="Y48" s="202">
        <v>0</v>
      </c>
      <c r="Z48" s="203"/>
      <c r="AA48" s="201">
        <f t="shared" si="93"/>
        <v>5</v>
      </c>
      <c r="AB48" s="1">
        <f t="shared" si="93"/>
        <v>5</v>
      </c>
      <c r="AC48" s="1">
        <f t="shared" si="93"/>
        <v>5</v>
      </c>
      <c r="AD48" s="1">
        <f t="shared" si="93"/>
        <v>5</v>
      </c>
      <c r="AE48" s="1">
        <f t="shared" si="93"/>
        <v>5</v>
      </c>
      <c r="AF48" s="1">
        <f t="shared" si="93"/>
        <v>5</v>
      </c>
      <c r="AG48" s="1">
        <f t="shared" si="93"/>
        <v>5</v>
      </c>
      <c r="AH48" s="1">
        <f t="shared" si="93"/>
        <v>2.5</v>
      </c>
      <c r="AI48" s="1">
        <f t="shared" si="93"/>
        <v>2.5</v>
      </c>
      <c r="AJ48" s="1">
        <f t="shared" si="93"/>
        <v>5</v>
      </c>
      <c r="AK48" s="1">
        <f t="shared" si="94"/>
        <v>2.5</v>
      </c>
      <c r="AL48" s="1">
        <f t="shared" si="94"/>
        <v>2.5</v>
      </c>
      <c r="AM48" s="1">
        <f t="shared" si="94"/>
        <v>5</v>
      </c>
      <c r="AN48" s="1">
        <f t="shared" si="94"/>
        <v>2.5</v>
      </c>
      <c r="AO48" s="1">
        <f t="shared" si="94"/>
        <v>0</v>
      </c>
      <c r="AP48" s="1">
        <f t="shared" si="94"/>
        <v>0</v>
      </c>
      <c r="AQ48" s="1">
        <f t="shared" si="94"/>
        <v>0</v>
      </c>
      <c r="AR48" s="202">
        <f t="shared" si="94"/>
        <v>0</v>
      </c>
      <c r="AS48" s="147"/>
      <c r="AT48" s="147"/>
      <c r="AU48" s="147"/>
      <c r="AV48" s="147"/>
    </row>
    <row r="49" spans="1:48" x14ac:dyDescent="0.2">
      <c r="A49" s="196"/>
      <c r="B49" s="7" t="s">
        <v>42</v>
      </c>
      <c r="C49" s="197">
        <v>3</v>
      </c>
      <c r="D49" s="198">
        <f>IF($C$113=0,0,ROUND(NORMDIST($C49,$C$113,((10-($E$113-1))/(COUNT(C$47:C$51)/2)),FALSE),2))</f>
        <v>0.15</v>
      </c>
      <c r="E49" s="199">
        <f>IF(AND(NOT(C$113=C49),OR(E$113=10,C$113=0)),0,1)</f>
        <v>1</v>
      </c>
      <c r="F49" s="198">
        <f>IF(NOT($C$113=0),ROUND(($D49/MAX(D$47:D$51)),2),0)</f>
        <v>0.88</v>
      </c>
      <c r="G49" s="200">
        <f>F49*D$113*E49</f>
        <v>4.4000000000000004</v>
      </c>
      <c r="H49" s="201">
        <v>1</v>
      </c>
      <c r="I49" s="1">
        <v>1</v>
      </c>
      <c r="J49" s="1">
        <v>1</v>
      </c>
      <c r="K49" s="1">
        <v>1</v>
      </c>
      <c r="L49" s="1">
        <v>1</v>
      </c>
      <c r="M49" s="1">
        <v>1</v>
      </c>
      <c r="N49" s="1">
        <v>1</v>
      </c>
      <c r="O49" s="1">
        <v>1</v>
      </c>
      <c r="P49" s="1">
        <v>1</v>
      </c>
      <c r="Q49" s="1">
        <v>1</v>
      </c>
      <c r="R49" s="1">
        <v>1</v>
      </c>
      <c r="S49" s="1">
        <v>1</v>
      </c>
      <c r="T49" s="1">
        <v>1</v>
      </c>
      <c r="U49" s="1">
        <v>1</v>
      </c>
      <c r="V49" s="1">
        <v>1</v>
      </c>
      <c r="W49" s="1">
        <v>1</v>
      </c>
      <c r="X49" s="1">
        <v>1</v>
      </c>
      <c r="Y49" s="202">
        <v>1</v>
      </c>
      <c r="Z49" s="203"/>
      <c r="AA49" s="201">
        <f t="shared" si="93"/>
        <v>4.4000000000000004</v>
      </c>
      <c r="AB49" s="1">
        <f t="shared" si="93"/>
        <v>4.4000000000000004</v>
      </c>
      <c r="AC49" s="1">
        <f t="shared" si="93"/>
        <v>4.4000000000000004</v>
      </c>
      <c r="AD49" s="1">
        <f t="shared" si="93"/>
        <v>4.4000000000000004</v>
      </c>
      <c r="AE49" s="1">
        <f t="shared" si="93"/>
        <v>4.4000000000000004</v>
      </c>
      <c r="AF49" s="1">
        <f t="shared" si="93"/>
        <v>4.4000000000000004</v>
      </c>
      <c r="AG49" s="1">
        <f t="shared" si="93"/>
        <v>4.4000000000000004</v>
      </c>
      <c r="AH49" s="1">
        <f t="shared" si="93"/>
        <v>4.4000000000000004</v>
      </c>
      <c r="AI49" s="1">
        <f t="shared" si="93"/>
        <v>4.4000000000000004</v>
      </c>
      <c r="AJ49" s="1">
        <f t="shared" si="93"/>
        <v>4.4000000000000004</v>
      </c>
      <c r="AK49" s="1">
        <f t="shared" si="94"/>
        <v>4.4000000000000004</v>
      </c>
      <c r="AL49" s="1">
        <f t="shared" si="94"/>
        <v>4.4000000000000004</v>
      </c>
      <c r="AM49" s="1">
        <f t="shared" si="94"/>
        <v>4.4000000000000004</v>
      </c>
      <c r="AN49" s="1">
        <f t="shared" si="94"/>
        <v>4.4000000000000004</v>
      </c>
      <c r="AO49" s="1">
        <f t="shared" si="94"/>
        <v>4.4000000000000004</v>
      </c>
      <c r="AP49" s="1">
        <f t="shared" si="94"/>
        <v>4.4000000000000004</v>
      </c>
      <c r="AQ49" s="1">
        <f t="shared" si="94"/>
        <v>4.4000000000000004</v>
      </c>
      <c r="AR49" s="202">
        <f t="shared" si="94"/>
        <v>4.4000000000000004</v>
      </c>
      <c r="AS49" s="147"/>
      <c r="AT49" s="147"/>
      <c r="AU49" s="147"/>
      <c r="AV49" s="147"/>
    </row>
    <row r="50" spans="1:48" x14ac:dyDescent="0.2">
      <c r="A50" s="196"/>
      <c r="B50" s="7" t="s">
        <v>43</v>
      </c>
      <c r="C50" s="197">
        <v>4</v>
      </c>
      <c r="D50" s="198">
        <f>IF($C$113=0,0,ROUND(NORMDIST($C50,$C$113,((10-($E$113-1))/(COUNT(C$47:C$51)/2)),FALSE),2))</f>
        <v>0.12</v>
      </c>
      <c r="E50" s="199">
        <f>IF(AND(NOT(C$113=C50),OR(E$113=10,C$113=0)),0,1)</f>
        <v>1</v>
      </c>
      <c r="F50" s="198">
        <f>IF(NOT($C$113=0),ROUND(($D50/MAX(D$47:D$51)),2),0)</f>
        <v>0.71</v>
      </c>
      <c r="G50" s="200">
        <f>F50*D$113*E50</f>
        <v>3.55</v>
      </c>
      <c r="H50" s="201">
        <v>1</v>
      </c>
      <c r="I50" s="1">
        <v>1</v>
      </c>
      <c r="J50" s="1">
        <v>1</v>
      </c>
      <c r="K50" s="1">
        <v>1</v>
      </c>
      <c r="L50" s="1">
        <v>1</v>
      </c>
      <c r="M50" s="1">
        <v>1</v>
      </c>
      <c r="N50" s="1">
        <v>1</v>
      </c>
      <c r="O50" s="1">
        <v>1</v>
      </c>
      <c r="P50" s="1">
        <v>1</v>
      </c>
      <c r="Q50" s="1">
        <v>1</v>
      </c>
      <c r="R50" s="1">
        <v>1</v>
      </c>
      <c r="S50" s="1">
        <v>1</v>
      </c>
      <c r="T50" s="1">
        <v>1</v>
      </c>
      <c r="U50" s="1">
        <v>1</v>
      </c>
      <c r="V50" s="1">
        <v>1</v>
      </c>
      <c r="W50" s="1">
        <v>1</v>
      </c>
      <c r="X50" s="1">
        <v>1</v>
      </c>
      <c r="Y50" s="202">
        <v>1</v>
      </c>
      <c r="Z50" s="203"/>
      <c r="AA50" s="201">
        <f t="shared" si="93"/>
        <v>3.55</v>
      </c>
      <c r="AB50" s="1">
        <f t="shared" si="93"/>
        <v>3.55</v>
      </c>
      <c r="AC50" s="1">
        <f t="shared" si="93"/>
        <v>3.55</v>
      </c>
      <c r="AD50" s="1">
        <f t="shared" si="93"/>
        <v>3.55</v>
      </c>
      <c r="AE50" s="1">
        <f t="shared" si="93"/>
        <v>3.55</v>
      </c>
      <c r="AF50" s="1">
        <f t="shared" si="93"/>
        <v>3.55</v>
      </c>
      <c r="AG50" s="1">
        <f t="shared" si="93"/>
        <v>3.55</v>
      </c>
      <c r="AH50" s="1">
        <f t="shared" si="93"/>
        <v>3.55</v>
      </c>
      <c r="AI50" s="1">
        <f t="shared" si="93"/>
        <v>3.55</v>
      </c>
      <c r="AJ50" s="1">
        <f t="shared" si="93"/>
        <v>3.55</v>
      </c>
      <c r="AK50" s="1">
        <f t="shared" si="94"/>
        <v>3.55</v>
      </c>
      <c r="AL50" s="1">
        <f t="shared" si="94"/>
        <v>3.55</v>
      </c>
      <c r="AM50" s="1">
        <f t="shared" si="94"/>
        <v>3.55</v>
      </c>
      <c r="AN50" s="1">
        <f t="shared" si="94"/>
        <v>3.55</v>
      </c>
      <c r="AO50" s="1">
        <f t="shared" si="94"/>
        <v>3.55</v>
      </c>
      <c r="AP50" s="1">
        <f t="shared" si="94"/>
        <v>3.55</v>
      </c>
      <c r="AQ50" s="1">
        <f t="shared" si="94"/>
        <v>3.55</v>
      </c>
      <c r="AR50" s="202">
        <f t="shared" si="94"/>
        <v>3.55</v>
      </c>
      <c r="AS50" s="147"/>
      <c r="AT50" s="147"/>
      <c r="AU50" s="147"/>
      <c r="AV50" s="147"/>
    </row>
    <row r="51" spans="1:48" ht="17" thickBot="1" x14ac:dyDescent="0.25">
      <c r="A51" s="196"/>
      <c r="B51" s="7" t="s">
        <v>44</v>
      </c>
      <c r="C51" s="197">
        <v>5</v>
      </c>
      <c r="D51" s="198">
        <f>IF($C$113=0,0,ROUND(NORMDIST($C51,$C$113,((10-($E$113-1))/(COUNT(C$47:C$51)/2)),FALSE),2))</f>
        <v>0.08</v>
      </c>
      <c r="E51" s="199">
        <f>IF(AND(NOT(C$113=C51),OR(E$113=10,C$113=0)),0,1)</f>
        <v>1</v>
      </c>
      <c r="F51" s="198">
        <f>IF(NOT($C$113=0),ROUND(($D51/MAX(D$47:D$51)),2),0)</f>
        <v>0.47</v>
      </c>
      <c r="G51" s="200">
        <f>F51*D$113*E51</f>
        <v>2.3499999999999996</v>
      </c>
      <c r="H51" s="201">
        <v>1</v>
      </c>
      <c r="I51" s="1">
        <v>1</v>
      </c>
      <c r="J51" s="1">
        <v>1</v>
      </c>
      <c r="K51" s="1">
        <v>1</v>
      </c>
      <c r="L51" s="1">
        <v>1</v>
      </c>
      <c r="M51" s="1">
        <v>1</v>
      </c>
      <c r="N51" s="1">
        <v>1</v>
      </c>
      <c r="O51" s="1">
        <v>1</v>
      </c>
      <c r="P51" s="1">
        <v>1</v>
      </c>
      <c r="Q51" s="1">
        <v>1</v>
      </c>
      <c r="R51" s="1">
        <v>1</v>
      </c>
      <c r="S51" s="1">
        <v>1</v>
      </c>
      <c r="T51" s="1">
        <v>1</v>
      </c>
      <c r="U51" s="1">
        <v>1</v>
      </c>
      <c r="V51" s="1">
        <v>1</v>
      </c>
      <c r="W51" s="1">
        <v>1</v>
      </c>
      <c r="X51" s="1">
        <v>1</v>
      </c>
      <c r="Y51" s="202">
        <v>1</v>
      </c>
      <c r="Z51" s="203"/>
      <c r="AA51" s="201">
        <f t="shared" si="93"/>
        <v>2.35</v>
      </c>
      <c r="AB51" s="1">
        <f t="shared" si="93"/>
        <v>2.35</v>
      </c>
      <c r="AC51" s="1">
        <f t="shared" si="93"/>
        <v>2.35</v>
      </c>
      <c r="AD51" s="1">
        <f t="shared" si="93"/>
        <v>2.35</v>
      </c>
      <c r="AE51" s="1">
        <f t="shared" si="93"/>
        <v>2.35</v>
      </c>
      <c r="AF51" s="1">
        <f t="shared" si="93"/>
        <v>2.35</v>
      </c>
      <c r="AG51" s="1">
        <f t="shared" si="93"/>
        <v>2.35</v>
      </c>
      <c r="AH51" s="1">
        <f t="shared" si="93"/>
        <v>2.35</v>
      </c>
      <c r="AI51" s="1">
        <f t="shared" si="93"/>
        <v>2.35</v>
      </c>
      <c r="AJ51" s="1">
        <f t="shared" si="93"/>
        <v>2.35</v>
      </c>
      <c r="AK51" s="1">
        <f t="shared" si="94"/>
        <v>2.35</v>
      </c>
      <c r="AL51" s="1">
        <f t="shared" si="94"/>
        <v>2.35</v>
      </c>
      <c r="AM51" s="1">
        <f t="shared" si="94"/>
        <v>2.35</v>
      </c>
      <c r="AN51" s="1">
        <f t="shared" si="94"/>
        <v>2.35</v>
      </c>
      <c r="AO51" s="1">
        <f t="shared" si="94"/>
        <v>2.35</v>
      </c>
      <c r="AP51" s="1">
        <f t="shared" si="94"/>
        <v>2.35</v>
      </c>
      <c r="AQ51" s="1">
        <f t="shared" si="94"/>
        <v>2.35</v>
      </c>
      <c r="AR51" s="202">
        <f t="shared" si="94"/>
        <v>2.35</v>
      </c>
      <c r="AS51" s="147"/>
      <c r="AT51" s="147"/>
      <c r="AU51" s="147"/>
      <c r="AV51" s="147"/>
    </row>
    <row r="52" spans="1:48" s="215" customFormat="1" ht="17" thickBot="1" x14ac:dyDescent="0.25">
      <c r="A52" s="204" t="s">
        <v>74</v>
      </c>
      <c r="B52" s="205"/>
      <c r="C52" s="206"/>
      <c r="D52" s="207"/>
      <c r="E52" s="208"/>
      <c r="F52" s="207"/>
      <c r="G52" s="209">
        <f>MAX(G47:G51)</f>
        <v>5</v>
      </c>
      <c r="H52" s="210"/>
      <c r="I52" s="211"/>
      <c r="J52" s="211"/>
      <c r="K52" s="211"/>
      <c r="L52" s="211"/>
      <c r="M52" s="211"/>
      <c r="N52" s="211"/>
      <c r="O52" s="211"/>
      <c r="P52" s="211"/>
      <c r="Q52" s="211"/>
      <c r="R52" s="211"/>
      <c r="S52" s="211"/>
      <c r="T52" s="211"/>
      <c r="U52" s="211"/>
      <c r="V52" s="211"/>
      <c r="W52" s="211"/>
      <c r="X52" s="211"/>
      <c r="Y52" s="212"/>
      <c r="Z52" s="213"/>
      <c r="AA52" s="210">
        <f>IF(COUNTA(AA47:AA51)=COUNTIF(AA47:AA51,""), "",MAX(AA47:AA51))</f>
        <v>5</v>
      </c>
      <c r="AB52" s="211">
        <f t="shared" ref="AB52:AR52" si="95">IF(COUNTA(AB47:AB51)=COUNTIF(AB47:AB51,""), "",MAX(AB47:AB51))</f>
        <v>5</v>
      </c>
      <c r="AC52" s="211">
        <f t="shared" ref="AC52" si="96">IF(COUNTA(AC47:AC51)=COUNTIF(AC47:AC51,""), "",MAX(AC47:AC51))</f>
        <v>5</v>
      </c>
      <c r="AD52" s="211">
        <f t="shared" si="95"/>
        <v>5</v>
      </c>
      <c r="AE52" s="211">
        <f t="shared" si="95"/>
        <v>5</v>
      </c>
      <c r="AF52" s="211">
        <f t="shared" ref="AF52" si="97">IF(COUNTA(AF47:AF51)=COUNTIF(AF47:AF51,""), "",MAX(AF47:AF51))</f>
        <v>5</v>
      </c>
      <c r="AG52" s="211">
        <f t="shared" si="95"/>
        <v>5</v>
      </c>
      <c r="AH52" s="211">
        <f t="shared" si="95"/>
        <v>4.4000000000000004</v>
      </c>
      <c r="AI52" s="211">
        <f t="shared" ref="AI52" si="98">IF(COUNTA(AI47:AI51)=COUNTIF(AI47:AI51,""), "",MAX(AI47:AI51))</f>
        <v>4.4000000000000004</v>
      </c>
      <c r="AJ52" s="211">
        <f t="shared" si="95"/>
        <v>5</v>
      </c>
      <c r="AK52" s="211">
        <f t="shared" si="95"/>
        <v>4.4000000000000004</v>
      </c>
      <c r="AL52" s="211">
        <f t="shared" ref="AL52" si="99">IF(COUNTA(AL47:AL51)=COUNTIF(AL47:AL51,""), "",MAX(AL47:AL51))</f>
        <v>4.4000000000000004</v>
      </c>
      <c r="AM52" s="211">
        <f t="shared" si="95"/>
        <v>5</v>
      </c>
      <c r="AN52" s="211">
        <f t="shared" si="95"/>
        <v>4.4000000000000004</v>
      </c>
      <c r="AO52" s="211">
        <f t="shared" si="95"/>
        <v>4.4000000000000004</v>
      </c>
      <c r="AP52" s="211">
        <f t="shared" si="95"/>
        <v>4.4000000000000004</v>
      </c>
      <c r="AQ52" s="211">
        <f t="shared" ref="AQ52" si="100">IF(COUNTA(AQ47:AQ51)=COUNTIF(AQ47:AQ51,""), "",MAX(AQ47:AQ51))</f>
        <v>4.4000000000000004</v>
      </c>
      <c r="AR52" s="212">
        <f t="shared" si="95"/>
        <v>4.4000000000000004</v>
      </c>
      <c r="AS52" s="214"/>
      <c r="AT52" s="214"/>
      <c r="AU52" s="214"/>
      <c r="AV52" s="214"/>
    </row>
    <row r="53" spans="1:48" ht="17" thickBot="1" x14ac:dyDescent="0.25">
      <c r="A53" s="216"/>
      <c r="B53" s="228"/>
      <c r="C53" s="217"/>
      <c r="D53" s="218"/>
      <c r="E53" s="219"/>
      <c r="F53" s="218"/>
      <c r="G53" s="220"/>
      <c r="H53" s="221"/>
      <c r="I53" s="203"/>
      <c r="J53" s="203"/>
      <c r="K53" s="203"/>
      <c r="L53" s="203"/>
      <c r="M53" s="203"/>
      <c r="N53" s="203"/>
      <c r="O53" s="203"/>
      <c r="P53" s="203"/>
      <c r="Q53" s="203"/>
      <c r="R53" s="203"/>
      <c r="S53" s="203"/>
      <c r="T53" s="203"/>
      <c r="U53" s="203"/>
      <c r="V53" s="203"/>
      <c r="W53" s="203"/>
      <c r="X53" s="203"/>
      <c r="Y53" s="222"/>
      <c r="Z53" s="203"/>
      <c r="AA53" s="221"/>
      <c r="AB53" s="203"/>
      <c r="AC53" s="203"/>
      <c r="AD53" s="203"/>
      <c r="AE53" s="203"/>
      <c r="AF53" s="203"/>
      <c r="AG53" s="203"/>
      <c r="AH53" s="203"/>
      <c r="AI53" s="203"/>
      <c r="AJ53" s="203"/>
      <c r="AK53" s="203"/>
      <c r="AL53" s="203"/>
      <c r="AM53" s="203"/>
      <c r="AN53" s="203"/>
      <c r="AO53" s="203"/>
      <c r="AP53" s="203"/>
      <c r="AQ53" s="203"/>
      <c r="AR53" s="222"/>
      <c r="AS53" s="147"/>
      <c r="AT53" s="147"/>
      <c r="AU53" s="147"/>
      <c r="AV53" s="147"/>
    </row>
    <row r="54" spans="1:48" ht="17" thickBot="1" x14ac:dyDescent="0.25">
      <c r="A54" s="229"/>
      <c r="B54" s="230" t="s">
        <v>189</v>
      </c>
      <c r="C54" s="231"/>
      <c r="D54" s="232"/>
      <c r="E54" s="233"/>
      <c r="F54" s="232"/>
      <c r="G54" s="234"/>
      <c r="H54" s="235"/>
      <c r="I54" s="236"/>
      <c r="J54" s="236"/>
      <c r="K54" s="236"/>
      <c r="L54" s="236"/>
      <c r="M54" s="236"/>
      <c r="N54" s="236"/>
      <c r="O54" s="236"/>
      <c r="P54" s="236"/>
      <c r="Q54" s="236"/>
      <c r="R54" s="236"/>
      <c r="S54" s="236"/>
      <c r="T54" s="236"/>
      <c r="U54" s="236"/>
      <c r="V54" s="236"/>
      <c r="W54" s="236"/>
      <c r="X54" s="236"/>
      <c r="Y54" s="237"/>
      <c r="Z54" s="236"/>
      <c r="AA54" s="235"/>
      <c r="AB54" s="236"/>
      <c r="AC54" s="236"/>
      <c r="AD54" s="236"/>
      <c r="AE54" s="236"/>
      <c r="AF54" s="236"/>
      <c r="AG54" s="236"/>
      <c r="AH54" s="236"/>
      <c r="AI54" s="236"/>
      <c r="AJ54" s="236"/>
      <c r="AK54" s="236"/>
      <c r="AL54" s="236"/>
      <c r="AM54" s="236"/>
      <c r="AN54" s="236"/>
      <c r="AO54" s="236"/>
      <c r="AP54" s="236"/>
      <c r="AQ54" s="236"/>
      <c r="AR54" s="238"/>
      <c r="AS54" s="147"/>
      <c r="AT54" s="147"/>
      <c r="AU54" s="147"/>
      <c r="AV54" s="147"/>
    </row>
    <row r="55" spans="1:48" x14ac:dyDescent="0.2">
      <c r="A55" s="239" t="s">
        <v>194</v>
      </c>
      <c r="B55" s="157" t="s">
        <v>113</v>
      </c>
      <c r="C55" s="189">
        <v>1</v>
      </c>
      <c r="D55" s="190">
        <f>IF($C$114=0,0,ROUND(NORMDIST($C55,$C$114,((10-($E$114-1))/(COUNT(C$55:C$58)/2)),FALSE),2))</f>
        <v>0.13</v>
      </c>
      <c r="E55" s="191">
        <f>IF(AND(NOT(C$114=C55),OR(E$114=10,C$114=0)),0,1)</f>
        <v>1</v>
      </c>
      <c r="F55" s="190">
        <f>IF(NOT($C$114=0),ROUND(($D55/MAX(D$55:D$58)),2),0)</f>
        <v>1</v>
      </c>
      <c r="G55" s="192">
        <f>F55*D$114*E55</f>
        <v>5</v>
      </c>
      <c r="H55" s="193">
        <v>1</v>
      </c>
      <c r="I55" s="194">
        <v>1</v>
      </c>
      <c r="J55" s="194">
        <v>1</v>
      </c>
      <c r="K55" s="194">
        <v>1</v>
      </c>
      <c r="L55" s="194">
        <v>1</v>
      </c>
      <c r="M55" s="194">
        <v>1</v>
      </c>
      <c r="N55" s="194">
        <v>1</v>
      </c>
      <c r="O55" s="194">
        <v>1</v>
      </c>
      <c r="P55" s="194">
        <v>1</v>
      </c>
      <c r="Q55" s="194">
        <v>1</v>
      </c>
      <c r="R55" s="194">
        <v>1</v>
      </c>
      <c r="S55" s="194">
        <v>1</v>
      </c>
      <c r="T55" s="194">
        <v>1</v>
      </c>
      <c r="U55" s="194">
        <v>1</v>
      </c>
      <c r="V55" s="194">
        <v>1</v>
      </c>
      <c r="W55" s="194">
        <v>1</v>
      </c>
      <c r="X55" s="194">
        <v>1</v>
      </c>
      <c r="Y55" s="195">
        <v>1</v>
      </c>
      <c r="Z55" s="183"/>
      <c r="AA55" s="193">
        <f t="shared" ref="AA55:AJ58" si="101">IF($G55=0,"",ROUND(H55*$G55,2))</f>
        <v>5</v>
      </c>
      <c r="AB55" s="194">
        <f t="shared" si="101"/>
        <v>5</v>
      </c>
      <c r="AC55" s="194">
        <f t="shared" si="101"/>
        <v>5</v>
      </c>
      <c r="AD55" s="194">
        <f t="shared" si="101"/>
        <v>5</v>
      </c>
      <c r="AE55" s="194">
        <f t="shared" si="101"/>
        <v>5</v>
      </c>
      <c r="AF55" s="194">
        <f t="shared" si="101"/>
        <v>5</v>
      </c>
      <c r="AG55" s="194">
        <f t="shared" si="101"/>
        <v>5</v>
      </c>
      <c r="AH55" s="194">
        <f t="shared" si="101"/>
        <v>5</v>
      </c>
      <c r="AI55" s="194">
        <f t="shared" si="101"/>
        <v>5</v>
      </c>
      <c r="AJ55" s="194">
        <f t="shared" si="101"/>
        <v>5</v>
      </c>
      <c r="AK55" s="194">
        <f t="shared" ref="AK55:AR58" si="102">IF($G55=0,"",ROUND(R55*$G55,2))</f>
        <v>5</v>
      </c>
      <c r="AL55" s="194">
        <f t="shared" si="102"/>
        <v>5</v>
      </c>
      <c r="AM55" s="194">
        <f t="shared" si="102"/>
        <v>5</v>
      </c>
      <c r="AN55" s="194">
        <f t="shared" si="102"/>
        <v>5</v>
      </c>
      <c r="AO55" s="194">
        <f t="shared" si="102"/>
        <v>5</v>
      </c>
      <c r="AP55" s="194">
        <f t="shared" si="102"/>
        <v>5</v>
      </c>
      <c r="AQ55" s="194">
        <f t="shared" si="102"/>
        <v>5</v>
      </c>
      <c r="AR55" s="240">
        <f t="shared" si="102"/>
        <v>5</v>
      </c>
      <c r="AS55" s="147"/>
      <c r="AT55" s="147"/>
      <c r="AU55" s="147"/>
      <c r="AV55" s="147"/>
    </row>
    <row r="56" spans="1:48" x14ac:dyDescent="0.2">
      <c r="A56" s="241"/>
      <c r="B56" s="7" t="s">
        <v>45</v>
      </c>
      <c r="C56" s="197">
        <v>2</v>
      </c>
      <c r="D56" s="198">
        <f>IF($C$114=0,0,ROUND(NORMDIST($C56,$C$114,((10-($E$114-1))/(COUNT(C$55:C$58)/2)),FALSE),2))</f>
        <v>0.13</v>
      </c>
      <c r="E56" s="199">
        <f>IF(AND(NOT(C$114=C56),OR(E$114=10,C$114=0)),0,1)</f>
        <v>1</v>
      </c>
      <c r="F56" s="198">
        <f>IF(NOT($C$114=0),ROUND(($D56/MAX(D$55:D$58)),2),0)</f>
        <v>1</v>
      </c>
      <c r="G56" s="200">
        <f>F56*D$114*E56</f>
        <v>5</v>
      </c>
      <c r="H56" s="201">
        <v>1</v>
      </c>
      <c r="I56" s="1">
        <v>1</v>
      </c>
      <c r="J56" s="1">
        <v>1</v>
      </c>
      <c r="K56" s="1">
        <v>1</v>
      </c>
      <c r="L56" s="1">
        <v>1</v>
      </c>
      <c r="M56" s="1">
        <v>1</v>
      </c>
      <c r="N56" s="1">
        <v>1</v>
      </c>
      <c r="O56" s="1">
        <v>1</v>
      </c>
      <c r="P56" s="1">
        <v>1</v>
      </c>
      <c r="Q56" s="1">
        <v>1</v>
      </c>
      <c r="R56" s="1">
        <v>1</v>
      </c>
      <c r="S56" s="1">
        <v>1</v>
      </c>
      <c r="T56" s="1">
        <v>1</v>
      </c>
      <c r="U56" s="1">
        <v>1</v>
      </c>
      <c r="V56" s="1">
        <v>1</v>
      </c>
      <c r="W56" s="1">
        <v>1</v>
      </c>
      <c r="X56" s="1">
        <v>1</v>
      </c>
      <c r="Y56" s="202">
        <v>1</v>
      </c>
      <c r="Z56" s="203"/>
      <c r="AA56" s="201">
        <f t="shared" si="101"/>
        <v>5</v>
      </c>
      <c r="AB56" s="1">
        <f t="shared" si="101"/>
        <v>5</v>
      </c>
      <c r="AC56" s="1">
        <f t="shared" si="101"/>
        <v>5</v>
      </c>
      <c r="AD56" s="1">
        <f t="shared" si="101"/>
        <v>5</v>
      </c>
      <c r="AE56" s="1">
        <f t="shared" si="101"/>
        <v>5</v>
      </c>
      <c r="AF56" s="1">
        <f t="shared" si="101"/>
        <v>5</v>
      </c>
      <c r="AG56" s="1">
        <f t="shared" si="101"/>
        <v>5</v>
      </c>
      <c r="AH56" s="1">
        <f t="shared" si="101"/>
        <v>5</v>
      </c>
      <c r="AI56" s="1">
        <f t="shared" si="101"/>
        <v>5</v>
      </c>
      <c r="AJ56" s="1">
        <f t="shared" si="101"/>
        <v>5</v>
      </c>
      <c r="AK56" s="1">
        <f t="shared" si="102"/>
        <v>5</v>
      </c>
      <c r="AL56" s="1">
        <f t="shared" si="102"/>
        <v>5</v>
      </c>
      <c r="AM56" s="1">
        <f t="shared" si="102"/>
        <v>5</v>
      </c>
      <c r="AN56" s="1">
        <f t="shared" si="102"/>
        <v>5</v>
      </c>
      <c r="AO56" s="1">
        <f t="shared" si="102"/>
        <v>5</v>
      </c>
      <c r="AP56" s="1">
        <f t="shared" si="102"/>
        <v>5</v>
      </c>
      <c r="AQ56" s="1">
        <f t="shared" si="102"/>
        <v>5</v>
      </c>
      <c r="AR56" s="242">
        <f t="shared" si="102"/>
        <v>5</v>
      </c>
      <c r="AS56" s="147"/>
      <c r="AT56" s="147"/>
      <c r="AU56" s="147"/>
      <c r="AV56" s="147"/>
    </row>
    <row r="57" spans="1:48" x14ac:dyDescent="0.2">
      <c r="A57" s="241"/>
      <c r="B57" s="7" t="s">
        <v>46</v>
      </c>
      <c r="C57" s="197">
        <v>3</v>
      </c>
      <c r="D57" s="198">
        <f>IF($C$114=0,0,ROUND(NORMDIST($C57,$C$114,((10-($E$114-1))/(COUNT(C$55:C$58)/2)),FALSE),2))</f>
        <v>0.11</v>
      </c>
      <c r="E57" s="199">
        <f>IF(AND(NOT(C$114=C57),OR(E$114=10,C$114=0)),0,1)</f>
        <v>1</v>
      </c>
      <c r="F57" s="198">
        <f>IF(NOT($C$114=0),ROUND(($D57/MAX(D$55:D$58)),2),0)</f>
        <v>0.85</v>
      </c>
      <c r="G57" s="200">
        <f>F57*D$114*E57</f>
        <v>4.25</v>
      </c>
      <c r="H57" s="201">
        <v>0.5</v>
      </c>
      <c r="I57" s="1">
        <v>0</v>
      </c>
      <c r="J57" s="1">
        <v>0</v>
      </c>
      <c r="K57" s="1">
        <v>0</v>
      </c>
      <c r="L57" s="1">
        <v>1</v>
      </c>
      <c r="M57" s="1">
        <v>1</v>
      </c>
      <c r="N57" s="1">
        <v>1</v>
      </c>
      <c r="O57" s="1">
        <v>1</v>
      </c>
      <c r="P57" s="1">
        <v>1</v>
      </c>
      <c r="Q57" s="1">
        <v>1</v>
      </c>
      <c r="R57" s="1">
        <v>1</v>
      </c>
      <c r="S57" s="1">
        <v>1</v>
      </c>
      <c r="T57" s="1">
        <v>1</v>
      </c>
      <c r="U57" s="1">
        <v>1</v>
      </c>
      <c r="V57" s="1">
        <v>1</v>
      </c>
      <c r="W57" s="1">
        <v>1</v>
      </c>
      <c r="X57" s="1">
        <v>1</v>
      </c>
      <c r="Y57" s="202">
        <v>1</v>
      </c>
      <c r="Z57" s="203"/>
      <c r="AA57" s="201">
        <f t="shared" si="101"/>
        <v>2.13</v>
      </c>
      <c r="AB57" s="1">
        <f t="shared" si="101"/>
        <v>0</v>
      </c>
      <c r="AC57" s="1">
        <f t="shared" si="101"/>
        <v>0</v>
      </c>
      <c r="AD57" s="1">
        <f t="shared" si="101"/>
        <v>0</v>
      </c>
      <c r="AE57" s="1">
        <f t="shared" si="101"/>
        <v>4.25</v>
      </c>
      <c r="AF57" s="1">
        <f t="shared" si="101"/>
        <v>4.25</v>
      </c>
      <c r="AG57" s="1">
        <f t="shared" si="101"/>
        <v>4.25</v>
      </c>
      <c r="AH57" s="1">
        <f t="shared" si="101"/>
        <v>4.25</v>
      </c>
      <c r="AI57" s="1">
        <f t="shared" si="101"/>
        <v>4.25</v>
      </c>
      <c r="AJ57" s="1">
        <f t="shared" si="101"/>
        <v>4.25</v>
      </c>
      <c r="AK57" s="1">
        <f t="shared" si="102"/>
        <v>4.25</v>
      </c>
      <c r="AL57" s="1">
        <f t="shared" si="102"/>
        <v>4.25</v>
      </c>
      <c r="AM57" s="1">
        <f t="shared" si="102"/>
        <v>4.25</v>
      </c>
      <c r="AN57" s="1">
        <f t="shared" si="102"/>
        <v>4.25</v>
      </c>
      <c r="AO57" s="1">
        <f t="shared" si="102"/>
        <v>4.25</v>
      </c>
      <c r="AP57" s="1">
        <f t="shared" si="102"/>
        <v>4.25</v>
      </c>
      <c r="AQ57" s="1">
        <f t="shared" si="102"/>
        <v>4.25</v>
      </c>
      <c r="AR57" s="242">
        <f t="shared" si="102"/>
        <v>4.25</v>
      </c>
      <c r="AS57" s="147"/>
      <c r="AT57" s="147"/>
      <c r="AU57" s="147"/>
      <c r="AV57" s="147"/>
    </row>
    <row r="58" spans="1:48" ht="17" thickBot="1" x14ac:dyDescent="0.25">
      <c r="A58" s="241"/>
      <c r="B58" s="7" t="s">
        <v>47</v>
      </c>
      <c r="C58" s="197">
        <v>4</v>
      </c>
      <c r="D58" s="198">
        <f>IF($C$114=0,0,ROUND(NORMDIST($C58,$C$114,((10-($E$114-1))/(COUNT(C$55:C$58)/2)),FALSE),2))</f>
        <v>0.08</v>
      </c>
      <c r="E58" s="199">
        <f>IF(AND(NOT(C$114=C58),OR(E$114=10,C$114=0)),0,1)</f>
        <v>1</v>
      </c>
      <c r="F58" s="198">
        <f>IF(NOT($C$114=0),ROUND(($D58/MAX(D$55:D$58)),2),0)</f>
        <v>0.62</v>
      </c>
      <c r="G58" s="200">
        <f>F58*D$114*E58</f>
        <v>3.1</v>
      </c>
      <c r="H58" s="201">
        <v>0</v>
      </c>
      <c r="I58" s="1">
        <v>0</v>
      </c>
      <c r="J58" s="1">
        <v>0</v>
      </c>
      <c r="K58" s="1">
        <v>0</v>
      </c>
      <c r="L58" s="1">
        <v>0</v>
      </c>
      <c r="M58" s="1">
        <v>0</v>
      </c>
      <c r="N58" s="1">
        <v>0</v>
      </c>
      <c r="O58" s="1">
        <v>1</v>
      </c>
      <c r="P58" s="1">
        <v>1</v>
      </c>
      <c r="Q58" s="1">
        <v>1</v>
      </c>
      <c r="R58" s="1">
        <v>1</v>
      </c>
      <c r="S58" s="1">
        <v>1</v>
      </c>
      <c r="T58" s="1">
        <v>1</v>
      </c>
      <c r="U58" s="1">
        <v>1</v>
      </c>
      <c r="V58" s="1">
        <v>1</v>
      </c>
      <c r="W58" s="1">
        <v>1</v>
      </c>
      <c r="X58" s="1">
        <v>1</v>
      </c>
      <c r="Y58" s="202">
        <v>1</v>
      </c>
      <c r="Z58" s="203"/>
      <c r="AA58" s="201">
        <f t="shared" si="101"/>
        <v>0</v>
      </c>
      <c r="AB58" s="1">
        <f t="shared" si="101"/>
        <v>0</v>
      </c>
      <c r="AC58" s="1">
        <f t="shared" si="101"/>
        <v>0</v>
      </c>
      <c r="AD58" s="1">
        <f t="shared" si="101"/>
        <v>0</v>
      </c>
      <c r="AE58" s="1">
        <f t="shared" si="101"/>
        <v>0</v>
      </c>
      <c r="AF58" s="1">
        <f t="shared" si="101"/>
        <v>0</v>
      </c>
      <c r="AG58" s="1">
        <f t="shared" si="101"/>
        <v>0</v>
      </c>
      <c r="AH58" s="1">
        <f t="shared" si="101"/>
        <v>3.1</v>
      </c>
      <c r="AI58" s="1">
        <f t="shared" si="101"/>
        <v>3.1</v>
      </c>
      <c r="AJ58" s="1">
        <f t="shared" si="101"/>
        <v>3.1</v>
      </c>
      <c r="AK58" s="1">
        <f t="shared" si="102"/>
        <v>3.1</v>
      </c>
      <c r="AL58" s="1">
        <f t="shared" si="102"/>
        <v>3.1</v>
      </c>
      <c r="AM58" s="1">
        <f t="shared" si="102"/>
        <v>3.1</v>
      </c>
      <c r="AN58" s="1">
        <f t="shared" si="102"/>
        <v>3.1</v>
      </c>
      <c r="AO58" s="1">
        <f t="shared" si="102"/>
        <v>3.1</v>
      </c>
      <c r="AP58" s="1">
        <f t="shared" si="102"/>
        <v>3.1</v>
      </c>
      <c r="AQ58" s="1">
        <f t="shared" si="102"/>
        <v>3.1</v>
      </c>
      <c r="AR58" s="242">
        <f t="shared" si="102"/>
        <v>3.1</v>
      </c>
      <c r="AS58" s="147"/>
      <c r="AT58" s="147"/>
      <c r="AU58" s="147"/>
      <c r="AV58" s="147"/>
    </row>
    <row r="59" spans="1:48" s="215" customFormat="1" ht="17" thickBot="1" x14ac:dyDescent="0.25">
      <c r="A59" s="243" t="s">
        <v>74</v>
      </c>
      <c r="B59" s="205"/>
      <c r="C59" s="206"/>
      <c r="D59" s="207"/>
      <c r="E59" s="208"/>
      <c r="F59" s="207"/>
      <c r="G59" s="209">
        <f>MAX(G55:G58)</f>
        <v>5</v>
      </c>
      <c r="H59" s="210"/>
      <c r="I59" s="211"/>
      <c r="J59" s="211"/>
      <c r="K59" s="211"/>
      <c r="L59" s="211"/>
      <c r="M59" s="211"/>
      <c r="N59" s="211"/>
      <c r="O59" s="211"/>
      <c r="P59" s="211"/>
      <c r="Q59" s="211"/>
      <c r="R59" s="211"/>
      <c r="S59" s="211"/>
      <c r="T59" s="211"/>
      <c r="U59" s="211"/>
      <c r="V59" s="211"/>
      <c r="W59" s="211"/>
      <c r="X59" s="211"/>
      <c r="Y59" s="212"/>
      <c r="Z59" s="213"/>
      <c r="AA59" s="244">
        <f>IF(COUNTA(AA55:AA58)=COUNTIF(AA55:AA58,""), "",MAX(AA55:AA58))</f>
        <v>5</v>
      </c>
      <c r="AB59" s="245">
        <f t="shared" ref="AB59:AR59" si="103">IF(COUNTA(AB55:AB58)=COUNTIF(AB55:AB58,""), "",MAX(AB55:AB58))</f>
        <v>5</v>
      </c>
      <c r="AC59" s="245">
        <f t="shared" si="103"/>
        <v>5</v>
      </c>
      <c r="AD59" s="245">
        <f t="shared" si="103"/>
        <v>5</v>
      </c>
      <c r="AE59" s="245">
        <f t="shared" si="103"/>
        <v>5</v>
      </c>
      <c r="AF59" s="245">
        <f t="shared" si="103"/>
        <v>5</v>
      </c>
      <c r="AG59" s="245">
        <f t="shared" si="103"/>
        <v>5</v>
      </c>
      <c r="AH59" s="245">
        <f t="shared" si="103"/>
        <v>5</v>
      </c>
      <c r="AI59" s="245">
        <f t="shared" si="103"/>
        <v>5</v>
      </c>
      <c r="AJ59" s="245">
        <f t="shared" si="103"/>
        <v>5</v>
      </c>
      <c r="AK59" s="245">
        <f t="shared" si="103"/>
        <v>5</v>
      </c>
      <c r="AL59" s="245">
        <f t="shared" si="103"/>
        <v>5</v>
      </c>
      <c r="AM59" s="245">
        <f t="shared" si="103"/>
        <v>5</v>
      </c>
      <c r="AN59" s="245">
        <f t="shared" si="103"/>
        <v>5</v>
      </c>
      <c r="AO59" s="245">
        <f t="shared" si="103"/>
        <v>5</v>
      </c>
      <c r="AP59" s="245">
        <f t="shared" si="103"/>
        <v>5</v>
      </c>
      <c r="AQ59" s="245">
        <f t="shared" si="103"/>
        <v>5</v>
      </c>
      <c r="AR59" s="246">
        <f t="shared" si="103"/>
        <v>5</v>
      </c>
      <c r="AS59" s="214"/>
      <c r="AT59" s="214"/>
      <c r="AU59" s="214"/>
      <c r="AV59" s="214"/>
    </row>
    <row r="60" spans="1:48" ht="17" thickBot="1" x14ac:dyDescent="0.25">
      <c r="A60" s="247"/>
      <c r="B60" s="181" t="s">
        <v>189</v>
      </c>
      <c r="C60" s="217"/>
      <c r="D60" s="218"/>
      <c r="E60" s="219"/>
      <c r="F60" s="218"/>
      <c r="G60" s="220"/>
      <c r="H60" s="221"/>
      <c r="I60" s="203"/>
      <c r="J60" s="203"/>
      <c r="K60" s="203"/>
      <c r="L60" s="203"/>
      <c r="M60" s="203"/>
      <c r="N60" s="203"/>
      <c r="O60" s="203"/>
      <c r="P60" s="203"/>
      <c r="Q60" s="203"/>
      <c r="R60" s="203"/>
      <c r="S60" s="203"/>
      <c r="T60" s="203"/>
      <c r="U60" s="203"/>
      <c r="V60" s="203"/>
      <c r="W60" s="203"/>
      <c r="X60" s="203"/>
      <c r="Y60" s="222"/>
      <c r="Z60" s="203"/>
      <c r="AA60" s="221"/>
      <c r="AB60" s="203"/>
      <c r="AC60" s="203"/>
      <c r="AD60" s="203"/>
      <c r="AE60" s="203"/>
      <c r="AF60" s="203"/>
      <c r="AG60" s="203"/>
      <c r="AH60" s="203"/>
      <c r="AI60" s="203"/>
      <c r="AJ60" s="203"/>
      <c r="AK60" s="203"/>
      <c r="AL60" s="203"/>
      <c r="AM60" s="203"/>
      <c r="AN60" s="203"/>
      <c r="AO60" s="203"/>
      <c r="AP60" s="203"/>
      <c r="AQ60" s="203"/>
      <c r="AR60" s="248"/>
      <c r="AS60" s="147"/>
      <c r="AT60" s="147"/>
      <c r="AU60" s="147"/>
      <c r="AV60" s="147"/>
    </row>
    <row r="61" spans="1:48" x14ac:dyDescent="0.2">
      <c r="A61" s="239" t="s">
        <v>6</v>
      </c>
      <c r="B61" s="157" t="s">
        <v>113</v>
      </c>
      <c r="C61" s="189">
        <v>1</v>
      </c>
      <c r="D61" s="190">
        <f>IF($C$115=0,0,ROUND(NORMDIST($C61,$C$115,((10-($E$115-1))/(COUNT(C$61:C$64)/2)),FALSE),2))</f>
        <v>0.13</v>
      </c>
      <c r="E61" s="191">
        <f>IF(AND(NOT(C$115=C61),OR(E$115=10,C$115=0)),0,1)</f>
        <v>1</v>
      </c>
      <c r="F61" s="190">
        <f>IF(NOT($C$115=0),ROUND(($D61/MAX(D$61:D$64)),2),0)</f>
        <v>1</v>
      </c>
      <c r="G61" s="192">
        <f>F61*D$115*E61</f>
        <v>5</v>
      </c>
      <c r="H61" s="193">
        <v>1</v>
      </c>
      <c r="I61" s="194">
        <v>1</v>
      </c>
      <c r="J61" s="194">
        <v>1</v>
      </c>
      <c r="K61" s="194">
        <v>1</v>
      </c>
      <c r="L61" s="194">
        <v>1</v>
      </c>
      <c r="M61" s="194">
        <v>1</v>
      </c>
      <c r="N61" s="194">
        <v>1</v>
      </c>
      <c r="O61" s="194">
        <v>1</v>
      </c>
      <c r="P61" s="194">
        <v>1</v>
      </c>
      <c r="Q61" s="194">
        <v>1</v>
      </c>
      <c r="R61" s="194">
        <v>1</v>
      </c>
      <c r="S61" s="194">
        <v>1</v>
      </c>
      <c r="T61" s="194">
        <v>1</v>
      </c>
      <c r="U61" s="194">
        <v>1</v>
      </c>
      <c r="V61" s="194">
        <v>1</v>
      </c>
      <c r="W61" s="194">
        <v>1</v>
      </c>
      <c r="X61" s="194">
        <v>1</v>
      </c>
      <c r="Y61" s="195">
        <v>1</v>
      </c>
      <c r="Z61" s="183"/>
      <c r="AA61" s="193">
        <f t="shared" ref="AA61:AJ64" si="104">IF($G61=0,"",ROUND(H61*$G61,2))</f>
        <v>5</v>
      </c>
      <c r="AB61" s="194">
        <f t="shared" si="104"/>
        <v>5</v>
      </c>
      <c r="AC61" s="194">
        <f t="shared" si="104"/>
        <v>5</v>
      </c>
      <c r="AD61" s="194">
        <f t="shared" si="104"/>
        <v>5</v>
      </c>
      <c r="AE61" s="194">
        <f t="shared" si="104"/>
        <v>5</v>
      </c>
      <c r="AF61" s="194">
        <f t="shared" si="104"/>
        <v>5</v>
      </c>
      <c r="AG61" s="194">
        <f t="shared" si="104"/>
        <v>5</v>
      </c>
      <c r="AH61" s="194">
        <f t="shared" si="104"/>
        <v>5</v>
      </c>
      <c r="AI61" s="194">
        <f t="shared" si="104"/>
        <v>5</v>
      </c>
      <c r="AJ61" s="194">
        <f t="shared" si="104"/>
        <v>5</v>
      </c>
      <c r="AK61" s="194">
        <f t="shared" ref="AK61:AR64" si="105">IF($G61=0,"",ROUND(R61*$G61,2))</f>
        <v>5</v>
      </c>
      <c r="AL61" s="194">
        <f t="shared" si="105"/>
        <v>5</v>
      </c>
      <c r="AM61" s="194">
        <f t="shared" si="105"/>
        <v>5</v>
      </c>
      <c r="AN61" s="194">
        <f t="shared" si="105"/>
        <v>5</v>
      </c>
      <c r="AO61" s="194">
        <f t="shared" si="105"/>
        <v>5</v>
      </c>
      <c r="AP61" s="194">
        <f t="shared" si="105"/>
        <v>5</v>
      </c>
      <c r="AQ61" s="194">
        <f t="shared" si="105"/>
        <v>5</v>
      </c>
      <c r="AR61" s="240">
        <f t="shared" si="105"/>
        <v>5</v>
      </c>
      <c r="AS61" s="147"/>
      <c r="AT61" s="147"/>
      <c r="AU61" s="147"/>
      <c r="AV61" s="147"/>
    </row>
    <row r="62" spans="1:48" x14ac:dyDescent="0.2">
      <c r="A62" s="241"/>
      <c r="B62" s="7" t="s">
        <v>45</v>
      </c>
      <c r="C62" s="197">
        <v>2</v>
      </c>
      <c r="D62" s="198">
        <f>IF($C$115=0,0,ROUND(NORMDIST($C62,$C$115,((10-($E$115-1))/(COUNT(C$61:C$64)/2)),FALSE),2))</f>
        <v>0.13</v>
      </c>
      <c r="E62" s="199">
        <f>IF(AND(NOT(C$115=C62),OR(E$115=10,C$115=0)),0,1)</f>
        <v>1</v>
      </c>
      <c r="F62" s="198">
        <f>IF(NOT($C$115=0),ROUND(($D62/MAX(D$61:D$64)),2),0)</f>
        <v>1</v>
      </c>
      <c r="G62" s="200">
        <f>F62*D$115*E62</f>
        <v>5</v>
      </c>
      <c r="H62" s="201">
        <v>1</v>
      </c>
      <c r="I62" s="1">
        <v>1</v>
      </c>
      <c r="J62" s="1">
        <v>1</v>
      </c>
      <c r="K62" s="1">
        <v>1</v>
      </c>
      <c r="L62" s="1">
        <v>1</v>
      </c>
      <c r="M62" s="1">
        <v>1</v>
      </c>
      <c r="N62" s="1">
        <v>1</v>
      </c>
      <c r="O62" s="1">
        <v>1</v>
      </c>
      <c r="P62" s="1">
        <v>1</v>
      </c>
      <c r="Q62" s="1">
        <v>1</v>
      </c>
      <c r="R62" s="1">
        <v>1</v>
      </c>
      <c r="S62" s="1">
        <v>1</v>
      </c>
      <c r="T62" s="1">
        <v>1</v>
      </c>
      <c r="U62" s="1">
        <v>1</v>
      </c>
      <c r="V62" s="1">
        <v>1</v>
      </c>
      <c r="W62" s="1">
        <v>1</v>
      </c>
      <c r="X62" s="1">
        <v>1</v>
      </c>
      <c r="Y62" s="202">
        <v>1</v>
      </c>
      <c r="Z62" s="203"/>
      <c r="AA62" s="201">
        <f t="shared" si="104"/>
        <v>5</v>
      </c>
      <c r="AB62" s="1">
        <f t="shared" si="104"/>
        <v>5</v>
      </c>
      <c r="AC62" s="1">
        <f t="shared" si="104"/>
        <v>5</v>
      </c>
      <c r="AD62" s="1">
        <f t="shared" si="104"/>
        <v>5</v>
      </c>
      <c r="AE62" s="1">
        <f t="shared" si="104"/>
        <v>5</v>
      </c>
      <c r="AF62" s="1">
        <f t="shared" si="104"/>
        <v>5</v>
      </c>
      <c r="AG62" s="1">
        <f t="shared" si="104"/>
        <v>5</v>
      </c>
      <c r="AH62" s="1">
        <f t="shared" si="104"/>
        <v>5</v>
      </c>
      <c r="AI62" s="1">
        <f t="shared" si="104"/>
        <v>5</v>
      </c>
      <c r="AJ62" s="1">
        <f t="shared" si="104"/>
        <v>5</v>
      </c>
      <c r="AK62" s="1">
        <f t="shared" si="105"/>
        <v>5</v>
      </c>
      <c r="AL62" s="1">
        <f t="shared" si="105"/>
        <v>5</v>
      </c>
      <c r="AM62" s="1">
        <f t="shared" si="105"/>
        <v>5</v>
      </c>
      <c r="AN62" s="1">
        <f t="shared" si="105"/>
        <v>5</v>
      </c>
      <c r="AO62" s="1">
        <f t="shared" si="105"/>
        <v>5</v>
      </c>
      <c r="AP62" s="1">
        <f t="shared" si="105"/>
        <v>5</v>
      </c>
      <c r="AQ62" s="1">
        <f t="shared" si="105"/>
        <v>5</v>
      </c>
      <c r="AR62" s="242">
        <f t="shared" si="105"/>
        <v>5</v>
      </c>
      <c r="AS62" s="147"/>
      <c r="AT62" s="147"/>
      <c r="AU62" s="147"/>
      <c r="AV62" s="147"/>
    </row>
    <row r="63" spans="1:48" x14ac:dyDescent="0.2">
      <c r="A63" s="241"/>
      <c r="B63" s="7" t="s">
        <v>46</v>
      </c>
      <c r="C63" s="197">
        <v>3</v>
      </c>
      <c r="D63" s="198">
        <f>IF($C$115=0,0,ROUND(NORMDIST($C63,$C$115,((10-($E$115-1))/(COUNT(C$61:C$64)/2)),FALSE),2))</f>
        <v>0.11</v>
      </c>
      <c r="E63" s="199">
        <f>IF(AND(NOT(C$115=C63),OR(E$115=10,C$115=0)),0,1)</f>
        <v>1</v>
      </c>
      <c r="F63" s="198">
        <f>IF(NOT($C$115=0),ROUND(($D63/MAX(D$61:D$64)),2),0)</f>
        <v>0.85</v>
      </c>
      <c r="G63" s="200">
        <f>F63*D$115*E63</f>
        <v>4.25</v>
      </c>
      <c r="H63" s="201">
        <v>0.5</v>
      </c>
      <c r="I63" s="1">
        <v>0</v>
      </c>
      <c r="J63" s="1">
        <v>0</v>
      </c>
      <c r="K63" s="1">
        <v>0</v>
      </c>
      <c r="L63" s="1">
        <v>1</v>
      </c>
      <c r="M63" s="1">
        <v>1</v>
      </c>
      <c r="N63" s="1">
        <v>1</v>
      </c>
      <c r="O63" s="1">
        <v>1</v>
      </c>
      <c r="P63" s="1">
        <v>1</v>
      </c>
      <c r="Q63" s="1">
        <v>1</v>
      </c>
      <c r="R63" s="1">
        <v>1</v>
      </c>
      <c r="S63" s="1">
        <v>1</v>
      </c>
      <c r="T63" s="1">
        <v>1</v>
      </c>
      <c r="U63" s="1">
        <v>1</v>
      </c>
      <c r="V63" s="1">
        <v>1</v>
      </c>
      <c r="W63" s="1">
        <v>1</v>
      </c>
      <c r="X63" s="1">
        <v>1</v>
      </c>
      <c r="Y63" s="202">
        <v>1</v>
      </c>
      <c r="Z63" s="203"/>
      <c r="AA63" s="201">
        <f t="shared" si="104"/>
        <v>2.13</v>
      </c>
      <c r="AB63" s="1">
        <f t="shared" si="104"/>
        <v>0</v>
      </c>
      <c r="AC63" s="1">
        <f t="shared" si="104"/>
        <v>0</v>
      </c>
      <c r="AD63" s="1">
        <f t="shared" si="104"/>
        <v>0</v>
      </c>
      <c r="AE63" s="1">
        <f t="shared" si="104"/>
        <v>4.25</v>
      </c>
      <c r="AF63" s="1">
        <f t="shared" si="104"/>
        <v>4.25</v>
      </c>
      <c r="AG63" s="1">
        <f t="shared" si="104"/>
        <v>4.25</v>
      </c>
      <c r="AH63" s="1">
        <f t="shared" si="104"/>
        <v>4.25</v>
      </c>
      <c r="AI63" s="1">
        <f t="shared" si="104"/>
        <v>4.25</v>
      </c>
      <c r="AJ63" s="1">
        <f t="shared" si="104"/>
        <v>4.25</v>
      </c>
      <c r="AK63" s="1">
        <f t="shared" si="105"/>
        <v>4.25</v>
      </c>
      <c r="AL63" s="1">
        <f t="shared" si="105"/>
        <v>4.25</v>
      </c>
      <c r="AM63" s="1">
        <f t="shared" si="105"/>
        <v>4.25</v>
      </c>
      <c r="AN63" s="1">
        <f t="shared" si="105"/>
        <v>4.25</v>
      </c>
      <c r="AO63" s="1">
        <f t="shared" si="105"/>
        <v>4.25</v>
      </c>
      <c r="AP63" s="1">
        <f t="shared" si="105"/>
        <v>4.25</v>
      </c>
      <c r="AQ63" s="1">
        <f t="shared" si="105"/>
        <v>4.25</v>
      </c>
      <c r="AR63" s="242">
        <f t="shared" si="105"/>
        <v>4.25</v>
      </c>
      <c r="AS63" s="147"/>
      <c r="AT63" s="147"/>
      <c r="AU63" s="147"/>
      <c r="AV63" s="147"/>
    </row>
    <row r="64" spans="1:48" ht="17" thickBot="1" x14ac:dyDescent="0.25">
      <c r="A64" s="241"/>
      <c r="B64" s="7" t="s">
        <v>47</v>
      </c>
      <c r="C64" s="197">
        <v>4</v>
      </c>
      <c r="D64" s="198">
        <f>IF($C$115=0,0,ROUND(NORMDIST($C64,$C$115,((10-($E$115-1))/(COUNT(C$61:C$64)/2)),FALSE),2))</f>
        <v>0.08</v>
      </c>
      <c r="E64" s="199">
        <f>IF(AND(NOT(C$115=C64),OR(E$115=10,C$115=0)),0,1)</f>
        <v>1</v>
      </c>
      <c r="F64" s="198">
        <f>IF(NOT($C$115=0),ROUND(($D64/MAX(D$61:D$64)),2),0)</f>
        <v>0.62</v>
      </c>
      <c r="G64" s="200">
        <f>F64*D$115*E64</f>
        <v>3.1</v>
      </c>
      <c r="H64" s="201">
        <v>0</v>
      </c>
      <c r="I64" s="1">
        <v>0</v>
      </c>
      <c r="J64" s="1">
        <v>0</v>
      </c>
      <c r="K64" s="1">
        <v>0</v>
      </c>
      <c r="L64" s="1">
        <v>0</v>
      </c>
      <c r="M64" s="1">
        <v>0</v>
      </c>
      <c r="N64" s="1">
        <v>0</v>
      </c>
      <c r="O64" s="1">
        <v>1</v>
      </c>
      <c r="P64" s="1">
        <v>1</v>
      </c>
      <c r="Q64" s="1">
        <v>1</v>
      </c>
      <c r="R64" s="1">
        <v>1</v>
      </c>
      <c r="S64" s="1">
        <v>1</v>
      </c>
      <c r="T64" s="1">
        <v>1</v>
      </c>
      <c r="U64" s="1">
        <v>1</v>
      </c>
      <c r="V64" s="1">
        <v>1</v>
      </c>
      <c r="W64" s="1">
        <v>1</v>
      </c>
      <c r="X64" s="1">
        <v>1</v>
      </c>
      <c r="Y64" s="202">
        <v>1</v>
      </c>
      <c r="Z64" s="203"/>
      <c r="AA64" s="201">
        <f t="shared" si="104"/>
        <v>0</v>
      </c>
      <c r="AB64" s="1">
        <f t="shared" si="104"/>
        <v>0</v>
      </c>
      <c r="AC64" s="1">
        <f t="shared" si="104"/>
        <v>0</v>
      </c>
      <c r="AD64" s="1">
        <f t="shared" si="104"/>
        <v>0</v>
      </c>
      <c r="AE64" s="1">
        <f t="shared" si="104"/>
        <v>0</v>
      </c>
      <c r="AF64" s="1">
        <f t="shared" si="104"/>
        <v>0</v>
      </c>
      <c r="AG64" s="1">
        <f t="shared" si="104"/>
        <v>0</v>
      </c>
      <c r="AH64" s="1">
        <f t="shared" si="104"/>
        <v>3.1</v>
      </c>
      <c r="AI64" s="1">
        <f t="shared" si="104"/>
        <v>3.1</v>
      </c>
      <c r="AJ64" s="1">
        <f t="shared" si="104"/>
        <v>3.1</v>
      </c>
      <c r="AK64" s="1">
        <f t="shared" si="105"/>
        <v>3.1</v>
      </c>
      <c r="AL64" s="1">
        <f t="shared" si="105"/>
        <v>3.1</v>
      </c>
      <c r="AM64" s="1">
        <f t="shared" si="105"/>
        <v>3.1</v>
      </c>
      <c r="AN64" s="1">
        <f t="shared" si="105"/>
        <v>3.1</v>
      </c>
      <c r="AO64" s="1">
        <f t="shared" si="105"/>
        <v>3.1</v>
      </c>
      <c r="AP64" s="1">
        <f t="shared" si="105"/>
        <v>3.1</v>
      </c>
      <c r="AQ64" s="1">
        <f t="shared" si="105"/>
        <v>3.1</v>
      </c>
      <c r="AR64" s="242">
        <f t="shared" si="105"/>
        <v>3.1</v>
      </c>
      <c r="AS64" s="147"/>
      <c r="AT64" s="147"/>
      <c r="AU64" s="147"/>
      <c r="AV64" s="147"/>
    </row>
    <row r="65" spans="1:48" s="215" customFormat="1" ht="17" thickBot="1" x14ac:dyDescent="0.25">
      <c r="A65" s="243" t="s">
        <v>74</v>
      </c>
      <c r="B65" s="205"/>
      <c r="C65" s="206"/>
      <c r="D65" s="207"/>
      <c r="E65" s="208"/>
      <c r="F65" s="207"/>
      <c r="G65" s="209">
        <f>MAX(G61:G64)</f>
        <v>5</v>
      </c>
      <c r="H65" s="210"/>
      <c r="I65" s="211"/>
      <c r="J65" s="211"/>
      <c r="K65" s="211"/>
      <c r="L65" s="211"/>
      <c r="M65" s="211"/>
      <c r="N65" s="211"/>
      <c r="O65" s="211"/>
      <c r="P65" s="211"/>
      <c r="Q65" s="211"/>
      <c r="R65" s="211"/>
      <c r="S65" s="211"/>
      <c r="T65" s="211"/>
      <c r="U65" s="211"/>
      <c r="V65" s="211"/>
      <c r="W65" s="211"/>
      <c r="X65" s="211"/>
      <c r="Y65" s="212"/>
      <c r="Z65" s="213"/>
      <c r="AA65" s="244">
        <f>IF(COUNTA(AA61:AA64)=COUNTIF(AA61:AA64,""), "",MAX(AA61:AA64))</f>
        <v>5</v>
      </c>
      <c r="AB65" s="245">
        <f t="shared" ref="AB65:AR65" si="106">IF(COUNTA(AB61:AB64)=COUNTIF(AB61:AB64,""), "",MAX(AB61:AB64))</f>
        <v>5</v>
      </c>
      <c r="AC65" s="245">
        <f t="shared" ref="AC65" si="107">IF(COUNTA(AC61:AC64)=COUNTIF(AC61:AC64,""), "",MAX(AC61:AC64))</f>
        <v>5</v>
      </c>
      <c r="AD65" s="245">
        <f t="shared" si="106"/>
        <v>5</v>
      </c>
      <c r="AE65" s="245">
        <f t="shared" si="106"/>
        <v>5</v>
      </c>
      <c r="AF65" s="245">
        <f t="shared" ref="AF65" si="108">IF(COUNTA(AF61:AF64)=COUNTIF(AF61:AF64,""), "",MAX(AF61:AF64))</f>
        <v>5</v>
      </c>
      <c r="AG65" s="245">
        <f t="shared" si="106"/>
        <v>5</v>
      </c>
      <c r="AH65" s="245">
        <f t="shared" si="106"/>
        <v>5</v>
      </c>
      <c r="AI65" s="245">
        <f t="shared" ref="AI65" si="109">IF(COUNTA(AI61:AI64)=COUNTIF(AI61:AI64,""), "",MAX(AI61:AI64))</f>
        <v>5</v>
      </c>
      <c r="AJ65" s="245">
        <f t="shared" si="106"/>
        <v>5</v>
      </c>
      <c r="AK65" s="245">
        <f t="shared" si="106"/>
        <v>5</v>
      </c>
      <c r="AL65" s="245">
        <f t="shared" ref="AL65" si="110">IF(COUNTA(AL61:AL64)=COUNTIF(AL61:AL64,""), "",MAX(AL61:AL64))</f>
        <v>5</v>
      </c>
      <c r="AM65" s="245">
        <f t="shared" si="106"/>
        <v>5</v>
      </c>
      <c r="AN65" s="245">
        <f t="shared" si="106"/>
        <v>5</v>
      </c>
      <c r="AO65" s="245">
        <f t="shared" si="106"/>
        <v>5</v>
      </c>
      <c r="AP65" s="245">
        <f t="shared" si="106"/>
        <v>5</v>
      </c>
      <c r="AQ65" s="245">
        <f t="shared" ref="AQ65" si="111">IF(COUNTA(AQ61:AQ64)=COUNTIF(AQ61:AQ64,""), "",MAX(AQ61:AQ64))</f>
        <v>5</v>
      </c>
      <c r="AR65" s="246">
        <f t="shared" si="106"/>
        <v>5</v>
      </c>
      <c r="AS65" s="214"/>
      <c r="AT65" s="214"/>
      <c r="AU65" s="214"/>
      <c r="AV65" s="214"/>
    </row>
    <row r="66" spans="1:48" ht="17" thickBot="1" x14ac:dyDescent="0.25">
      <c r="A66" s="247"/>
      <c r="B66" s="181"/>
      <c r="C66" s="249"/>
      <c r="D66" s="203"/>
      <c r="E66" s="203"/>
      <c r="F66" s="203"/>
      <c r="G66" s="220"/>
      <c r="H66" s="221"/>
      <c r="I66" s="203"/>
      <c r="J66" s="203"/>
      <c r="K66" s="203"/>
      <c r="L66" s="203"/>
      <c r="M66" s="203"/>
      <c r="N66" s="203"/>
      <c r="O66" s="203"/>
      <c r="P66" s="203"/>
      <c r="Q66" s="203"/>
      <c r="R66" s="203"/>
      <c r="S66" s="203"/>
      <c r="T66" s="203"/>
      <c r="U66" s="203"/>
      <c r="V66" s="203"/>
      <c r="W66" s="203"/>
      <c r="X66" s="203"/>
      <c r="Y66" s="222"/>
      <c r="Z66" s="203"/>
      <c r="AA66" s="221"/>
      <c r="AB66" s="203"/>
      <c r="AC66" s="203"/>
      <c r="AD66" s="203"/>
      <c r="AE66" s="203"/>
      <c r="AF66" s="203"/>
      <c r="AG66" s="203"/>
      <c r="AH66" s="203"/>
      <c r="AI66" s="203"/>
      <c r="AJ66" s="203"/>
      <c r="AK66" s="203"/>
      <c r="AL66" s="203"/>
      <c r="AM66" s="203"/>
      <c r="AN66" s="203"/>
      <c r="AO66" s="203"/>
      <c r="AP66" s="203"/>
      <c r="AQ66" s="203"/>
      <c r="AR66" s="248"/>
      <c r="AS66" s="147"/>
      <c r="AT66" s="147"/>
      <c r="AU66" s="147"/>
      <c r="AV66" s="147"/>
    </row>
    <row r="67" spans="1:48" s="215" customFormat="1" ht="17" thickBot="1" x14ac:dyDescent="0.25">
      <c r="A67" s="250" t="s">
        <v>197</v>
      </c>
      <c r="B67" s="251"/>
      <c r="C67" s="252"/>
      <c r="D67" s="253"/>
      <c r="E67" s="254"/>
      <c r="F67" s="253"/>
      <c r="G67" s="255"/>
      <c r="H67" s="256" t="str">
        <f>IF(AA59&gt;AA65,"AOI","Area")</f>
        <v>Area</v>
      </c>
      <c r="I67" s="257" t="str">
        <f>IF(AB59&gt;AB65,"AOI","Area")</f>
        <v>Area</v>
      </c>
      <c r="J67" s="257" t="str">
        <f>IF(AC59&gt;AC65,"AOI","Area")</f>
        <v>Area</v>
      </c>
      <c r="K67" s="257" t="str">
        <f>IF(AD59&gt;AD65,"AOI","Area")</f>
        <v>Area</v>
      </c>
      <c r="L67" s="257" t="str">
        <f>IF('Data Table'!$B$10="Disparate Pockets",IF(AE59&gt;=AE65,"AOI","Area"),IF(AE59&gt;AE65,"AOI","Area"))</f>
        <v>Area</v>
      </c>
      <c r="M67" s="257" t="str">
        <f>IF('Data Table'!$B$10="Disparate Pockets",IF(AF59&gt;=AF65,"AOI","Area"),IF(AF59&gt;AF65,"AOI","Area"))</f>
        <v>Area</v>
      </c>
      <c r="N67" s="257" t="str">
        <f>IF('Data Table'!$B$10="Disparate Pockets",IF(AG59&gt;=AG65,"AOI","Area"),IF(AG59&gt;AG65,"AOI","Area"))</f>
        <v>Area</v>
      </c>
      <c r="O67" s="257" t="str">
        <f t="shared" ref="O67:U67" si="112">IF(AH59&gt;AH65,"AOI","Area")</f>
        <v>Area</v>
      </c>
      <c r="P67" s="257" t="str">
        <f t="shared" si="112"/>
        <v>Area</v>
      </c>
      <c r="Q67" s="257" t="str">
        <f t="shared" si="112"/>
        <v>Area</v>
      </c>
      <c r="R67" s="257" t="str">
        <f t="shared" si="112"/>
        <v>Area</v>
      </c>
      <c r="S67" s="257" t="str">
        <f t="shared" si="112"/>
        <v>Area</v>
      </c>
      <c r="T67" s="257" t="str">
        <f t="shared" si="112"/>
        <v>Area</v>
      </c>
      <c r="U67" s="257" t="str">
        <f t="shared" si="112"/>
        <v>Area</v>
      </c>
      <c r="V67" s="257" t="str">
        <f>IF('Data Table'!$B$10="Disparate Pockets",IF(AO59&gt;=AO65,"AOI","Area"),IF(AO59&gt;AO65,"AOI","Area"))</f>
        <v>Area</v>
      </c>
      <c r="W67" s="257" t="str">
        <f t="shared" ref="W67:Y67" si="113">IF(AP59&gt;AP65,"AOI","Area")</f>
        <v>Area</v>
      </c>
      <c r="X67" s="257" t="str">
        <f t="shared" si="113"/>
        <v>Area</v>
      </c>
      <c r="Y67" s="258" t="str">
        <f t="shared" si="113"/>
        <v>Area</v>
      </c>
      <c r="Z67" s="259"/>
      <c r="AA67" s="256">
        <f>MAX(AA65,AA59)</f>
        <v>5</v>
      </c>
      <c r="AB67" s="257">
        <f t="shared" ref="AB67:AR67" si="114">MAX(AB65,AB59)</f>
        <v>5</v>
      </c>
      <c r="AC67" s="257">
        <f t="shared" si="114"/>
        <v>5</v>
      </c>
      <c r="AD67" s="257">
        <f t="shared" si="114"/>
        <v>5</v>
      </c>
      <c r="AE67" s="257">
        <f t="shared" si="114"/>
        <v>5</v>
      </c>
      <c r="AF67" s="257">
        <f t="shared" si="114"/>
        <v>5</v>
      </c>
      <c r="AG67" s="257">
        <f t="shared" si="114"/>
        <v>5</v>
      </c>
      <c r="AH67" s="257">
        <f t="shared" si="114"/>
        <v>5</v>
      </c>
      <c r="AI67" s="257">
        <f t="shared" si="114"/>
        <v>5</v>
      </c>
      <c r="AJ67" s="257">
        <f t="shared" si="114"/>
        <v>5</v>
      </c>
      <c r="AK67" s="257">
        <f t="shared" si="114"/>
        <v>5</v>
      </c>
      <c r="AL67" s="257">
        <f t="shared" si="114"/>
        <v>5</v>
      </c>
      <c r="AM67" s="257">
        <f t="shared" si="114"/>
        <v>5</v>
      </c>
      <c r="AN67" s="257">
        <f t="shared" si="114"/>
        <v>5</v>
      </c>
      <c r="AO67" s="257">
        <f t="shared" si="114"/>
        <v>5</v>
      </c>
      <c r="AP67" s="257">
        <f t="shared" si="114"/>
        <v>5</v>
      </c>
      <c r="AQ67" s="257">
        <f t="shared" si="114"/>
        <v>5</v>
      </c>
      <c r="AR67" s="260">
        <f t="shared" si="114"/>
        <v>5</v>
      </c>
      <c r="AS67" s="214"/>
      <c r="AT67" s="214"/>
      <c r="AU67" s="214"/>
      <c r="AV67" s="214"/>
    </row>
    <row r="68" spans="1:48" ht="17" thickBot="1" x14ac:dyDescent="0.25">
      <c r="A68" s="216"/>
      <c r="B68" s="261" t="s">
        <v>189</v>
      </c>
      <c r="C68" s="217"/>
      <c r="D68" s="218"/>
      <c r="E68" s="219"/>
      <c r="F68" s="218"/>
      <c r="G68" s="220"/>
      <c r="H68" s="221"/>
      <c r="I68" s="203"/>
      <c r="J68" s="203"/>
      <c r="K68" s="203"/>
      <c r="L68" s="203"/>
      <c r="M68" s="203"/>
      <c r="N68" s="203"/>
      <c r="O68" s="203"/>
      <c r="P68" s="203"/>
      <c r="Q68" s="203"/>
      <c r="R68" s="203"/>
      <c r="S68" s="203"/>
      <c r="T68" s="203"/>
      <c r="U68" s="203"/>
      <c r="V68" s="203"/>
      <c r="W68" s="203"/>
      <c r="X68" s="203"/>
      <c r="Y68" s="222"/>
      <c r="Z68" s="203"/>
      <c r="AA68" s="221"/>
      <c r="AB68" s="203"/>
      <c r="AC68" s="203"/>
      <c r="AD68" s="203"/>
      <c r="AE68" s="203"/>
      <c r="AF68" s="203"/>
      <c r="AG68" s="203"/>
      <c r="AH68" s="203"/>
      <c r="AI68" s="203"/>
      <c r="AJ68" s="203"/>
      <c r="AK68" s="203"/>
      <c r="AL68" s="203"/>
      <c r="AM68" s="203"/>
      <c r="AN68" s="203"/>
      <c r="AO68" s="203"/>
      <c r="AP68" s="203"/>
      <c r="AQ68" s="203"/>
      <c r="AR68" s="222"/>
      <c r="AS68" s="147"/>
      <c r="AT68" s="147"/>
      <c r="AU68" s="147"/>
      <c r="AV68" s="147"/>
    </row>
    <row r="69" spans="1:48" x14ac:dyDescent="0.2">
      <c r="A69" s="188" t="s">
        <v>7</v>
      </c>
      <c r="B69" s="157" t="s">
        <v>186</v>
      </c>
      <c r="C69" s="189">
        <v>1</v>
      </c>
      <c r="D69" s="190" t="e">
        <f>IF($C$116=0,0,ROUND(NORMDIST($C69,$C$116,((10-($E$116-1))/(COUNT(C$69:C$71)/2)),FALSE),2))</f>
        <v>#N/A</v>
      </c>
      <c r="E69" s="191" t="e">
        <f>IF(AND(NOT(C$116=C69),OR(E$116=10,C$116=0)),0,1)</f>
        <v>#N/A</v>
      </c>
      <c r="F69" s="190" t="e">
        <f>IF(NOT($C$116=0),ROUND(($D69/MAX(D$69:D$71)),2),0)</f>
        <v>#N/A</v>
      </c>
      <c r="G69" s="192" t="e">
        <f>F69*D$116*E69</f>
        <v>#N/A</v>
      </c>
      <c r="H69" s="193">
        <v>1</v>
      </c>
      <c r="I69" s="194">
        <v>1</v>
      </c>
      <c r="J69" s="194">
        <v>1</v>
      </c>
      <c r="K69" s="194">
        <v>1</v>
      </c>
      <c r="L69" s="194">
        <v>1</v>
      </c>
      <c r="M69" s="194">
        <v>1</v>
      </c>
      <c r="N69" s="194">
        <v>1</v>
      </c>
      <c r="O69" s="194">
        <v>1</v>
      </c>
      <c r="P69" s="194">
        <v>1</v>
      </c>
      <c r="Q69" s="194">
        <v>1</v>
      </c>
      <c r="R69" s="194">
        <v>1</v>
      </c>
      <c r="S69" s="194">
        <v>1</v>
      </c>
      <c r="T69" s="194">
        <v>1</v>
      </c>
      <c r="U69" s="194">
        <v>1</v>
      </c>
      <c r="V69" s="194">
        <v>1</v>
      </c>
      <c r="W69" s="194">
        <v>1</v>
      </c>
      <c r="X69" s="194">
        <v>1</v>
      </c>
      <c r="Y69" s="195">
        <v>1</v>
      </c>
      <c r="Z69" s="183"/>
      <c r="AA69" s="193" t="e">
        <f t="shared" ref="AA69:AJ71" si="115">IF($G69=0,"",ROUND(H69*$G69,2))</f>
        <v>#N/A</v>
      </c>
      <c r="AB69" s="194" t="e">
        <f t="shared" si="115"/>
        <v>#N/A</v>
      </c>
      <c r="AC69" s="194" t="e">
        <f t="shared" si="115"/>
        <v>#N/A</v>
      </c>
      <c r="AD69" s="194" t="e">
        <f t="shared" si="115"/>
        <v>#N/A</v>
      </c>
      <c r="AE69" s="194" t="e">
        <f t="shared" si="115"/>
        <v>#N/A</v>
      </c>
      <c r="AF69" s="194" t="e">
        <f t="shared" si="115"/>
        <v>#N/A</v>
      </c>
      <c r="AG69" s="194" t="e">
        <f t="shared" si="115"/>
        <v>#N/A</v>
      </c>
      <c r="AH69" s="194" t="e">
        <f t="shared" si="115"/>
        <v>#N/A</v>
      </c>
      <c r="AI69" s="194" t="e">
        <f t="shared" si="115"/>
        <v>#N/A</v>
      </c>
      <c r="AJ69" s="194" t="e">
        <f t="shared" si="115"/>
        <v>#N/A</v>
      </c>
      <c r="AK69" s="194" t="e">
        <f t="shared" ref="AK69:AR71" si="116">IF($G69=0,"",ROUND(R69*$G69,2))</f>
        <v>#N/A</v>
      </c>
      <c r="AL69" s="194" t="e">
        <f t="shared" si="116"/>
        <v>#N/A</v>
      </c>
      <c r="AM69" s="194" t="e">
        <f t="shared" si="116"/>
        <v>#N/A</v>
      </c>
      <c r="AN69" s="194" t="e">
        <f t="shared" si="116"/>
        <v>#N/A</v>
      </c>
      <c r="AO69" s="194" t="e">
        <f t="shared" si="116"/>
        <v>#N/A</v>
      </c>
      <c r="AP69" s="194" t="e">
        <f t="shared" si="116"/>
        <v>#N/A</v>
      </c>
      <c r="AQ69" s="194" t="e">
        <f t="shared" si="116"/>
        <v>#N/A</v>
      </c>
      <c r="AR69" s="195" t="e">
        <f t="shared" si="116"/>
        <v>#N/A</v>
      </c>
      <c r="AS69" s="147"/>
      <c r="AT69" s="147"/>
      <c r="AU69" s="147"/>
      <c r="AV69" s="147"/>
    </row>
    <row r="70" spans="1:48" x14ac:dyDescent="0.2">
      <c r="A70" s="196"/>
      <c r="B70" s="7" t="s">
        <v>187</v>
      </c>
      <c r="C70" s="197">
        <v>2</v>
      </c>
      <c r="D70" s="198" t="e">
        <f>IF($C$116=0,0,ROUND(NORMDIST($C70,$C$116,((10-($E$116-1))/(COUNT(C$69:C$71)/2)),FALSE),2))</f>
        <v>#N/A</v>
      </c>
      <c r="E70" s="199" t="e">
        <f>IF(AND(NOT(C$116=C70),OR(E$116=10,C$116=0)),0,1)</f>
        <v>#N/A</v>
      </c>
      <c r="F70" s="198" t="e">
        <f>IF(NOT($C$116=0),ROUND(($D70/MAX(D$69:D$71)),2),0)</f>
        <v>#N/A</v>
      </c>
      <c r="G70" s="200" t="e">
        <f>F70*D$116*E70</f>
        <v>#N/A</v>
      </c>
      <c r="H70" s="201">
        <v>0.66</v>
      </c>
      <c r="I70" s="1">
        <v>0.66</v>
      </c>
      <c r="J70" s="1">
        <v>0.66</v>
      </c>
      <c r="K70" s="1">
        <v>0.66</v>
      </c>
      <c r="L70" s="1">
        <v>1</v>
      </c>
      <c r="M70" s="1">
        <v>1</v>
      </c>
      <c r="N70" s="1">
        <v>1</v>
      </c>
      <c r="O70" s="1">
        <v>1</v>
      </c>
      <c r="P70" s="1">
        <v>1</v>
      </c>
      <c r="Q70" s="1">
        <v>1</v>
      </c>
      <c r="R70" s="1">
        <v>1</v>
      </c>
      <c r="S70" s="1">
        <v>1</v>
      </c>
      <c r="T70" s="1">
        <v>1</v>
      </c>
      <c r="U70" s="1">
        <v>1</v>
      </c>
      <c r="V70" s="1">
        <v>1</v>
      </c>
      <c r="W70" s="1">
        <v>1</v>
      </c>
      <c r="X70" s="1">
        <v>1</v>
      </c>
      <c r="Y70" s="202">
        <v>1</v>
      </c>
      <c r="Z70" s="203"/>
      <c r="AA70" s="201" t="e">
        <f t="shared" si="115"/>
        <v>#N/A</v>
      </c>
      <c r="AB70" s="1" t="e">
        <f t="shared" si="115"/>
        <v>#N/A</v>
      </c>
      <c r="AC70" s="1" t="e">
        <f t="shared" si="115"/>
        <v>#N/A</v>
      </c>
      <c r="AD70" s="1" t="e">
        <f t="shared" si="115"/>
        <v>#N/A</v>
      </c>
      <c r="AE70" s="1" t="e">
        <f t="shared" si="115"/>
        <v>#N/A</v>
      </c>
      <c r="AF70" s="1" t="e">
        <f t="shared" si="115"/>
        <v>#N/A</v>
      </c>
      <c r="AG70" s="1" t="e">
        <f t="shared" si="115"/>
        <v>#N/A</v>
      </c>
      <c r="AH70" s="1" t="e">
        <f t="shared" si="115"/>
        <v>#N/A</v>
      </c>
      <c r="AI70" s="1" t="e">
        <f t="shared" si="115"/>
        <v>#N/A</v>
      </c>
      <c r="AJ70" s="1" t="e">
        <f t="shared" si="115"/>
        <v>#N/A</v>
      </c>
      <c r="AK70" s="1" t="e">
        <f t="shared" si="116"/>
        <v>#N/A</v>
      </c>
      <c r="AL70" s="1" t="e">
        <f t="shared" si="116"/>
        <v>#N/A</v>
      </c>
      <c r="AM70" s="1" t="e">
        <f t="shared" si="116"/>
        <v>#N/A</v>
      </c>
      <c r="AN70" s="1" t="e">
        <f t="shared" si="116"/>
        <v>#N/A</v>
      </c>
      <c r="AO70" s="1" t="e">
        <f t="shared" si="116"/>
        <v>#N/A</v>
      </c>
      <c r="AP70" s="1" t="e">
        <f t="shared" si="116"/>
        <v>#N/A</v>
      </c>
      <c r="AQ70" s="1" t="e">
        <f t="shared" si="116"/>
        <v>#N/A</v>
      </c>
      <c r="AR70" s="202" t="e">
        <f t="shared" si="116"/>
        <v>#N/A</v>
      </c>
      <c r="AS70" s="147"/>
      <c r="AT70" s="147"/>
      <c r="AU70" s="147"/>
      <c r="AV70" s="147"/>
    </row>
    <row r="71" spans="1:48" ht="17" thickBot="1" x14ac:dyDescent="0.25">
      <c r="A71" s="196"/>
      <c r="B71" s="7" t="s">
        <v>188</v>
      </c>
      <c r="C71" s="197">
        <v>4</v>
      </c>
      <c r="D71" s="198" t="e">
        <f>IF($C$116=0,0,ROUND(NORMDIST($C71,$C$116,((10-($E$116-1))/(COUNT(C$69:C$71)/2)),FALSE),2))</f>
        <v>#N/A</v>
      </c>
      <c r="E71" s="199" t="e">
        <f>IF(AND(NOT(C$116=C71),OR(E$116=10,C$116=0)),0,1)</f>
        <v>#N/A</v>
      </c>
      <c r="F71" s="198" t="e">
        <f>IF(NOT($C$116=0),ROUND(($D71/MAX(D$69:D$71)),2),0)</f>
        <v>#N/A</v>
      </c>
      <c r="G71" s="200" t="e">
        <f>F71*D$116*E71</f>
        <v>#N/A</v>
      </c>
      <c r="H71" s="201">
        <v>0.33</v>
      </c>
      <c r="I71" s="1">
        <v>0.33</v>
      </c>
      <c r="J71" s="1">
        <v>0.33</v>
      </c>
      <c r="K71" s="1">
        <v>0.33</v>
      </c>
      <c r="L71" s="1">
        <v>0.5</v>
      </c>
      <c r="M71" s="1">
        <v>0.5</v>
      </c>
      <c r="N71" s="1">
        <v>0.5</v>
      </c>
      <c r="O71" s="1">
        <v>1</v>
      </c>
      <c r="P71" s="1">
        <v>1</v>
      </c>
      <c r="Q71" s="1">
        <v>1</v>
      </c>
      <c r="R71" s="1">
        <v>1</v>
      </c>
      <c r="S71" s="1">
        <v>1</v>
      </c>
      <c r="T71" s="1">
        <v>1</v>
      </c>
      <c r="U71" s="1">
        <v>1</v>
      </c>
      <c r="V71" s="1">
        <v>1</v>
      </c>
      <c r="W71" s="1">
        <v>1</v>
      </c>
      <c r="X71" s="1">
        <v>1</v>
      </c>
      <c r="Y71" s="202">
        <v>1</v>
      </c>
      <c r="Z71" s="203"/>
      <c r="AA71" s="201" t="e">
        <f t="shared" si="115"/>
        <v>#N/A</v>
      </c>
      <c r="AB71" s="1" t="e">
        <f t="shared" si="115"/>
        <v>#N/A</v>
      </c>
      <c r="AC71" s="1" t="e">
        <f t="shared" si="115"/>
        <v>#N/A</v>
      </c>
      <c r="AD71" s="1" t="e">
        <f t="shared" si="115"/>
        <v>#N/A</v>
      </c>
      <c r="AE71" s="1" t="e">
        <f t="shared" si="115"/>
        <v>#N/A</v>
      </c>
      <c r="AF71" s="1" t="e">
        <f t="shared" si="115"/>
        <v>#N/A</v>
      </c>
      <c r="AG71" s="1" t="e">
        <f t="shared" si="115"/>
        <v>#N/A</v>
      </c>
      <c r="AH71" s="1" t="e">
        <f t="shared" si="115"/>
        <v>#N/A</v>
      </c>
      <c r="AI71" s="1" t="e">
        <f t="shared" si="115"/>
        <v>#N/A</v>
      </c>
      <c r="AJ71" s="1" t="e">
        <f t="shared" si="115"/>
        <v>#N/A</v>
      </c>
      <c r="AK71" s="1" t="e">
        <f t="shared" si="116"/>
        <v>#N/A</v>
      </c>
      <c r="AL71" s="1" t="e">
        <f t="shared" si="116"/>
        <v>#N/A</v>
      </c>
      <c r="AM71" s="1" t="e">
        <f t="shared" si="116"/>
        <v>#N/A</v>
      </c>
      <c r="AN71" s="1" t="e">
        <f t="shared" si="116"/>
        <v>#N/A</v>
      </c>
      <c r="AO71" s="1" t="e">
        <f t="shared" si="116"/>
        <v>#N/A</v>
      </c>
      <c r="AP71" s="1" t="e">
        <f t="shared" si="116"/>
        <v>#N/A</v>
      </c>
      <c r="AQ71" s="1" t="e">
        <f t="shared" si="116"/>
        <v>#N/A</v>
      </c>
      <c r="AR71" s="202" t="e">
        <f t="shared" si="116"/>
        <v>#N/A</v>
      </c>
      <c r="AS71" s="147"/>
      <c r="AT71" s="147"/>
      <c r="AU71" s="147"/>
      <c r="AV71" s="147"/>
    </row>
    <row r="72" spans="1:48" s="215" customFormat="1" ht="17" thickBot="1" x14ac:dyDescent="0.25">
      <c r="A72" s="204" t="s">
        <v>74</v>
      </c>
      <c r="B72" s="205"/>
      <c r="C72" s="206"/>
      <c r="D72" s="207"/>
      <c r="E72" s="208"/>
      <c r="F72" s="207"/>
      <c r="G72" s="209" t="e">
        <f>MAX(G69:G71)</f>
        <v>#N/A</v>
      </c>
      <c r="H72" s="210"/>
      <c r="I72" s="211"/>
      <c r="J72" s="211"/>
      <c r="K72" s="211"/>
      <c r="L72" s="211"/>
      <c r="M72" s="211"/>
      <c r="N72" s="211"/>
      <c r="O72" s="211"/>
      <c r="P72" s="211"/>
      <c r="Q72" s="211"/>
      <c r="R72" s="211"/>
      <c r="S72" s="211"/>
      <c r="T72" s="211"/>
      <c r="U72" s="211"/>
      <c r="V72" s="211"/>
      <c r="W72" s="211"/>
      <c r="X72" s="211"/>
      <c r="Y72" s="212"/>
      <c r="Z72" s="213"/>
      <c r="AA72" s="210" t="e">
        <f t="shared" ref="AA72:AR72" si="117">IF(COUNTA(AA69:AA71)=COUNTIF(AA69:AA71,""), "",MAX(AA69:AA71))</f>
        <v>#N/A</v>
      </c>
      <c r="AB72" s="211" t="e">
        <f t="shared" si="117"/>
        <v>#N/A</v>
      </c>
      <c r="AC72" s="211" t="e">
        <f t="shared" si="117"/>
        <v>#N/A</v>
      </c>
      <c r="AD72" s="211" t="e">
        <f t="shared" si="117"/>
        <v>#N/A</v>
      </c>
      <c r="AE72" s="211" t="e">
        <f t="shared" si="117"/>
        <v>#N/A</v>
      </c>
      <c r="AF72" s="211" t="e">
        <f t="shared" si="117"/>
        <v>#N/A</v>
      </c>
      <c r="AG72" s="211" t="e">
        <f t="shared" si="117"/>
        <v>#N/A</v>
      </c>
      <c r="AH72" s="211" t="e">
        <f t="shared" si="117"/>
        <v>#N/A</v>
      </c>
      <c r="AI72" s="211" t="e">
        <f t="shared" si="117"/>
        <v>#N/A</v>
      </c>
      <c r="AJ72" s="211" t="e">
        <f t="shared" si="117"/>
        <v>#N/A</v>
      </c>
      <c r="AK72" s="211" t="e">
        <f t="shared" si="117"/>
        <v>#N/A</v>
      </c>
      <c r="AL72" s="211" t="e">
        <f t="shared" si="117"/>
        <v>#N/A</v>
      </c>
      <c r="AM72" s="211" t="e">
        <f t="shared" si="117"/>
        <v>#N/A</v>
      </c>
      <c r="AN72" s="211" t="e">
        <f t="shared" si="117"/>
        <v>#N/A</v>
      </c>
      <c r="AO72" s="211" t="e">
        <f t="shared" si="117"/>
        <v>#N/A</v>
      </c>
      <c r="AP72" s="211" t="e">
        <f t="shared" si="117"/>
        <v>#N/A</v>
      </c>
      <c r="AQ72" s="211" t="e">
        <f t="shared" si="117"/>
        <v>#N/A</v>
      </c>
      <c r="AR72" s="212" t="e">
        <f t="shared" si="117"/>
        <v>#N/A</v>
      </c>
      <c r="AS72" s="214"/>
      <c r="AT72" s="214"/>
      <c r="AU72" s="214"/>
      <c r="AV72" s="214"/>
    </row>
    <row r="73" spans="1:48" ht="17" thickBot="1" x14ac:dyDescent="0.25">
      <c r="A73" s="216"/>
      <c r="B73" s="261"/>
      <c r="C73" s="217"/>
      <c r="D73" s="218"/>
      <c r="E73" s="219"/>
      <c r="F73" s="218"/>
      <c r="G73" s="220"/>
      <c r="H73" s="221"/>
      <c r="I73" s="203"/>
      <c r="J73" s="203"/>
      <c r="K73" s="203"/>
      <c r="L73" s="203"/>
      <c r="M73" s="203"/>
      <c r="N73" s="203"/>
      <c r="O73" s="203"/>
      <c r="P73" s="203"/>
      <c r="Q73" s="203"/>
      <c r="R73" s="203"/>
      <c r="S73" s="203"/>
      <c r="T73" s="203"/>
      <c r="U73" s="203"/>
      <c r="V73" s="203"/>
      <c r="W73" s="203"/>
      <c r="X73" s="203"/>
      <c r="Y73" s="222"/>
      <c r="Z73" s="203"/>
      <c r="AA73" s="221"/>
      <c r="AB73" s="203"/>
      <c r="AC73" s="203"/>
      <c r="AD73" s="203"/>
      <c r="AE73" s="203"/>
      <c r="AF73" s="203"/>
      <c r="AG73" s="203"/>
      <c r="AH73" s="203"/>
      <c r="AI73" s="203"/>
      <c r="AJ73" s="203"/>
      <c r="AK73" s="203"/>
      <c r="AL73" s="203"/>
      <c r="AM73" s="203"/>
      <c r="AN73" s="203"/>
      <c r="AO73" s="203"/>
      <c r="AP73" s="203"/>
      <c r="AQ73" s="203"/>
      <c r="AR73" s="222"/>
      <c r="AS73" s="147"/>
      <c r="AT73" s="147"/>
      <c r="AU73" s="147"/>
      <c r="AV73" s="147"/>
    </row>
    <row r="74" spans="1:48" s="215" customFormat="1" x14ac:dyDescent="0.2">
      <c r="A74" s="188" t="s">
        <v>8</v>
      </c>
      <c r="B74" s="262" t="s">
        <v>48</v>
      </c>
      <c r="C74" s="263">
        <v>1</v>
      </c>
      <c r="D74" s="146">
        <f>IF('Data Table'!$B$11="Yes",1,0)</f>
        <v>1</v>
      </c>
      <c r="E74" s="264">
        <f>D74</f>
        <v>1</v>
      </c>
      <c r="F74" s="146">
        <f>D74</f>
        <v>1</v>
      </c>
      <c r="G74" s="140">
        <f>F74*D$117*E74</f>
        <v>0</v>
      </c>
      <c r="H74" s="265">
        <v>1</v>
      </c>
      <c r="I74" s="146">
        <v>0.25</v>
      </c>
      <c r="J74" s="146">
        <v>0</v>
      </c>
      <c r="K74" s="146">
        <v>1</v>
      </c>
      <c r="L74" s="146">
        <v>0.25</v>
      </c>
      <c r="M74" s="146">
        <v>0</v>
      </c>
      <c r="N74" s="146">
        <v>1</v>
      </c>
      <c r="O74" s="146">
        <v>0.25</v>
      </c>
      <c r="P74" s="146">
        <v>0</v>
      </c>
      <c r="Q74" s="146">
        <v>1</v>
      </c>
      <c r="R74" s="146">
        <v>0.25</v>
      </c>
      <c r="S74" s="146">
        <v>0</v>
      </c>
      <c r="T74" s="146">
        <v>1</v>
      </c>
      <c r="U74" s="146">
        <v>1</v>
      </c>
      <c r="V74" s="146">
        <v>0</v>
      </c>
      <c r="W74" s="146">
        <v>0</v>
      </c>
      <c r="X74" s="146">
        <v>0</v>
      </c>
      <c r="Y74" s="139">
        <v>1</v>
      </c>
      <c r="Z74" s="266"/>
      <c r="AA74" s="265">
        <f t="shared" ref="AA74:AJ75" si="118">IF($G74=0,0,ROUND(H74*$G74,2))</f>
        <v>0</v>
      </c>
      <c r="AB74" s="146">
        <f t="shared" si="118"/>
        <v>0</v>
      </c>
      <c r="AC74" s="146">
        <f t="shared" si="118"/>
        <v>0</v>
      </c>
      <c r="AD74" s="146">
        <f t="shared" si="118"/>
        <v>0</v>
      </c>
      <c r="AE74" s="146">
        <f t="shared" si="118"/>
        <v>0</v>
      </c>
      <c r="AF74" s="146">
        <f t="shared" si="118"/>
        <v>0</v>
      </c>
      <c r="AG74" s="146">
        <f t="shared" si="118"/>
        <v>0</v>
      </c>
      <c r="AH74" s="146">
        <f t="shared" si="118"/>
        <v>0</v>
      </c>
      <c r="AI74" s="146">
        <f t="shared" si="118"/>
        <v>0</v>
      </c>
      <c r="AJ74" s="146">
        <f t="shared" si="118"/>
        <v>0</v>
      </c>
      <c r="AK74" s="146">
        <f t="shared" ref="AK74:AR75" si="119">IF($G74=0,0,ROUND(R74*$G74,2))</f>
        <v>0</v>
      </c>
      <c r="AL74" s="146">
        <f t="shared" si="119"/>
        <v>0</v>
      </c>
      <c r="AM74" s="146">
        <f t="shared" si="119"/>
        <v>0</v>
      </c>
      <c r="AN74" s="146">
        <f t="shared" si="119"/>
        <v>0</v>
      </c>
      <c r="AO74" s="146">
        <f t="shared" si="119"/>
        <v>0</v>
      </c>
      <c r="AP74" s="146">
        <f t="shared" si="119"/>
        <v>0</v>
      </c>
      <c r="AQ74" s="146">
        <f t="shared" si="119"/>
        <v>0</v>
      </c>
      <c r="AR74" s="139">
        <f t="shared" si="119"/>
        <v>0</v>
      </c>
      <c r="AS74" s="214"/>
      <c r="AT74" s="214"/>
      <c r="AU74" s="214"/>
      <c r="AV74" s="214"/>
    </row>
    <row r="75" spans="1:48" s="215" customFormat="1" ht="17" thickBot="1" x14ac:dyDescent="0.25">
      <c r="A75" s="267"/>
      <c r="B75" s="268" t="s">
        <v>49</v>
      </c>
      <c r="C75" s="269">
        <v>1</v>
      </c>
      <c r="D75" s="270">
        <f>IF('Data Table'!$B$12="Yes",1,0)</f>
        <v>1</v>
      </c>
      <c r="E75" s="271">
        <f>D75</f>
        <v>1</v>
      </c>
      <c r="F75" s="270">
        <f>D75</f>
        <v>1</v>
      </c>
      <c r="G75" s="272">
        <f>F75*D$118*E75</f>
        <v>0</v>
      </c>
      <c r="H75" s="273">
        <v>1</v>
      </c>
      <c r="I75" s="270">
        <v>1</v>
      </c>
      <c r="J75" s="270">
        <v>1</v>
      </c>
      <c r="K75" s="270">
        <v>0</v>
      </c>
      <c r="L75" s="270">
        <v>1</v>
      </c>
      <c r="M75" s="270">
        <v>1</v>
      </c>
      <c r="N75" s="270">
        <v>0</v>
      </c>
      <c r="O75" s="270">
        <v>1</v>
      </c>
      <c r="P75" s="270">
        <v>1</v>
      </c>
      <c r="Q75" s="270">
        <v>0</v>
      </c>
      <c r="R75" s="270">
        <v>1</v>
      </c>
      <c r="S75" s="270">
        <v>1</v>
      </c>
      <c r="T75" s="270">
        <v>0</v>
      </c>
      <c r="U75" s="270">
        <v>0</v>
      </c>
      <c r="V75" s="270">
        <v>1</v>
      </c>
      <c r="W75" s="270">
        <v>1</v>
      </c>
      <c r="X75" s="270">
        <v>1</v>
      </c>
      <c r="Y75" s="274">
        <v>0</v>
      </c>
      <c r="Z75" s="275"/>
      <c r="AA75" s="273">
        <f t="shared" si="118"/>
        <v>0</v>
      </c>
      <c r="AB75" s="270">
        <f t="shared" si="118"/>
        <v>0</v>
      </c>
      <c r="AC75" s="270">
        <f t="shared" si="118"/>
        <v>0</v>
      </c>
      <c r="AD75" s="270">
        <f t="shared" si="118"/>
        <v>0</v>
      </c>
      <c r="AE75" s="270">
        <f t="shared" si="118"/>
        <v>0</v>
      </c>
      <c r="AF75" s="270">
        <f t="shared" si="118"/>
        <v>0</v>
      </c>
      <c r="AG75" s="270">
        <f t="shared" si="118"/>
        <v>0</v>
      </c>
      <c r="AH75" s="270">
        <f t="shared" si="118"/>
        <v>0</v>
      </c>
      <c r="AI75" s="270">
        <f t="shared" si="118"/>
        <v>0</v>
      </c>
      <c r="AJ75" s="270">
        <f t="shared" si="118"/>
        <v>0</v>
      </c>
      <c r="AK75" s="270">
        <f t="shared" si="119"/>
        <v>0</v>
      </c>
      <c r="AL75" s="270">
        <f t="shared" si="119"/>
        <v>0</v>
      </c>
      <c r="AM75" s="270">
        <f t="shared" si="119"/>
        <v>0</v>
      </c>
      <c r="AN75" s="270">
        <f t="shared" si="119"/>
        <v>0</v>
      </c>
      <c r="AO75" s="270">
        <f t="shared" si="119"/>
        <v>0</v>
      </c>
      <c r="AP75" s="270">
        <f t="shared" si="119"/>
        <v>0</v>
      </c>
      <c r="AQ75" s="270">
        <f t="shared" si="119"/>
        <v>0</v>
      </c>
      <c r="AR75" s="274">
        <f t="shared" si="119"/>
        <v>0</v>
      </c>
      <c r="AS75" s="214"/>
      <c r="AT75" s="214"/>
      <c r="AU75" s="214"/>
      <c r="AV75" s="214"/>
    </row>
    <row r="76" spans="1:48" ht="17" thickBot="1" x14ac:dyDescent="0.25">
      <c r="A76" s="216"/>
      <c r="B76" s="181" t="s">
        <v>189</v>
      </c>
      <c r="C76" s="249"/>
      <c r="D76" s="203"/>
      <c r="E76" s="203"/>
      <c r="F76" s="203"/>
      <c r="G76" s="220"/>
      <c r="H76" s="221"/>
      <c r="I76" s="203"/>
      <c r="J76" s="203"/>
      <c r="K76" s="203"/>
      <c r="L76" s="203"/>
      <c r="M76" s="203"/>
      <c r="N76" s="203"/>
      <c r="O76" s="203"/>
      <c r="P76" s="203"/>
      <c r="Q76" s="203"/>
      <c r="R76" s="203"/>
      <c r="S76" s="203"/>
      <c r="T76" s="203"/>
      <c r="U76" s="203"/>
      <c r="V76" s="203"/>
      <c r="W76" s="203"/>
      <c r="X76" s="203"/>
      <c r="Y76" s="222"/>
      <c r="Z76" s="203"/>
      <c r="AA76" s="221"/>
      <c r="AB76" s="203"/>
      <c r="AC76" s="203"/>
      <c r="AD76" s="203"/>
      <c r="AE76" s="203"/>
      <c r="AF76" s="203"/>
      <c r="AG76" s="203"/>
      <c r="AH76" s="203"/>
      <c r="AI76" s="203"/>
      <c r="AJ76" s="203"/>
      <c r="AK76" s="203"/>
      <c r="AL76" s="203"/>
      <c r="AM76" s="203"/>
      <c r="AN76" s="203"/>
      <c r="AO76" s="203"/>
      <c r="AP76" s="203"/>
      <c r="AQ76" s="203"/>
      <c r="AR76" s="222"/>
      <c r="AS76" s="147"/>
      <c r="AT76" s="147"/>
      <c r="AU76" s="147"/>
      <c r="AV76" s="147"/>
    </row>
    <row r="77" spans="1:48" x14ac:dyDescent="0.2">
      <c r="A77" s="188" t="s">
        <v>167</v>
      </c>
      <c r="B77" s="157" t="s">
        <v>169</v>
      </c>
      <c r="C77" s="189">
        <v>1</v>
      </c>
      <c r="D77" s="190" t="e">
        <f>IF($C$119=0,0,ROUND(NORMDIST($C77,$C$119,((10-($E$119-1))/(COUNT(C$77:C$80)/2)),FALSE),2))</f>
        <v>#N/A</v>
      </c>
      <c r="E77" s="191" t="e">
        <f>IF(AND(NOT(C$119=C77),OR(E$119=10,C$119=0)),0,1)</f>
        <v>#N/A</v>
      </c>
      <c r="F77" s="190" t="e">
        <f>IF(NOT($C$119=0),ROUND(($D77/MAX(D$77:D$80)),2),0)</f>
        <v>#N/A</v>
      </c>
      <c r="G77" s="192" t="e">
        <f>F77*D$119*E77</f>
        <v>#N/A</v>
      </c>
      <c r="H77" s="276">
        <v>1</v>
      </c>
      <c r="I77" s="277">
        <v>0</v>
      </c>
      <c r="J77" s="277">
        <v>0</v>
      </c>
      <c r="K77" s="277">
        <v>1</v>
      </c>
      <c r="L77" s="277">
        <v>0</v>
      </c>
      <c r="M77" s="277">
        <v>0</v>
      </c>
      <c r="N77" s="277">
        <v>0</v>
      </c>
      <c r="O77" s="277">
        <v>0</v>
      </c>
      <c r="P77" s="277">
        <v>0</v>
      </c>
      <c r="Q77" s="277">
        <v>0</v>
      </c>
      <c r="R77" s="277">
        <v>0</v>
      </c>
      <c r="S77" s="277">
        <v>0</v>
      </c>
      <c r="T77" s="277">
        <v>0</v>
      </c>
      <c r="U77" s="277">
        <v>0</v>
      </c>
      <c r="V77" s="277">
        <v>0</v>
      </c>
      <c r="W77" s="277">
        <v>0</v>
      </c>
      <c r="X77" s="277">
        <v>0</v>
      </c>
      <c r="Y77" s="278">
        <v>0</v>
      </c>
      <c r="Z77" s="183"/>
      <c r="AA77" s="193" t="e">
        <f t="shared" ref="AA77:AJ80" si="120">IF($G77=0,"",ROUND(H77*$G77,2))</f>
        <v>#N/A</v>
      </c>
      <c r="AB77" s="194" t="e">
        <f t="shared" si="120"/>
        <v>#N/A</v>
      </c>
      <c r="AC77" s="194" t="e">
        <f t="shared" si="120"/>
        <v>#N/A</v>
      </c>
      <c r="AD77" s="194" t="e">
        <f t="shared" si="120"/>
        <v>#N/A</v>
      </c>
      <c r="AE77" s="194" t="e">
        <f t="shared" si="120"/>
        <v>#N/A</v>
      </c>
      <c r="AF77" s="194" t="e">
        <f t="shared" si="120"/>
        <v>#N/A</v>
      </c>
      <c r="AG77" s="194" t="e">
        <f t="shared" si="120"/>
        <v>#N/A</v>
      </c>
      <c r="AH77" s="194" t="e">
        <f t="shared" si="120"/>
        <v>#N/A</v>
      </c>
      <c r="AI77" s="194" t="e">
        <f t="shared" si="120"/>
        <v>#N/A</v>
      </c>
      <c r="AJ77" s="194" t="e">
        <f t="shared" si="120"/>
        <v>#N/A</v>
      </c>
      <c r="AK77" s="194" t="e">
        <f t="shared" ref="AK77:AR80" si="121">IF($G77=0,"",ROUND(R77*$G77,2))</f>
        <v>#N/A</v>
      </c>
      <c r="AL77" s="194" t="e">
        <f t="shared" si="121"/>
        <v>#N/A</v>
      </c>
      <c r="AM77" s="194" t="e">
        <f t="shared" si="121"/>
        <v>#N/A</v>
      </c>
      <c r="AN77" s="194" t="e">
        <f t="shared" si="121"/>
        <v>#N/A</v>
      </c>
      <c r="AO77" s="194" t="e">
        <f t="shared" si="121"/>
        <v>#N/A</v>
      </c>
      <c r="AP77" s="194" t="e">
        <f t="shared" si="121"/>
        <v>#N/A</v>
      </c>
      <c r="AQ77" s="194" t="e">
        <f t="shared" si="121"/>
        <v>#N/A</v>
      </c>
      <c r="AR77" s="195" t="e">
        <f t="shared" si="121"/>
        <v>#N/A</v>
      </c>
      <c r="AS77" s="147"/>
      <c r="AT77" s="147"/>
      <c r="AU77" s="147"/>
      <c r="AV77" s="147"/>
    </row>
    <row r="78" spans="1:48" x14ac:dyDescent="0.2">
      <c r="A78" s="196"/>
      <c r="B78" s="7" t="s">
        <v>170</v>
      </c>
      <c r="C78" s="197">
        <v>2</v>
      </c>
      <c r="D78" s="198" t="e">
        <f>IF($C$119=0,0,ROUND(NORMDIST($C78,$C$119,((10-($E$119-1))/(COUNT(C$77:C$80)/2)),FALSE),2))</f>
        <v>#N/A</v>
      </c>
      <c r="E78" s="199" t="e">
        <f>IF(AND(NOT(C$119=C78),OR(E$119=10,C$119=0)),0,1)</f>
        <v>#N/A</v>
      </c>
      <c r="F78" s="198" t="e">
        <f>IF(NOT($C$119=0),ROUND(($D78/MAX(D$77:D$80)),2),0)</f>
        <v>#N/A</v>
      </c>
      <c r="G78" s="200" t="e">
        <f>F78*D$119*E78</f>
        <v>#N/A</v>
      </c>
      <c r="H78" s="279">
        <v>1</v>
      </c>
      <c r="I78" s="280">
        <v>0.5</v>
      </c>
      <c r="J78" s="280">
        <v>0</v>
      </c>
      <c r="K78" s="280">
        <v>1</v>
      </c>
      <c r="L78" s="280">
        <v>0.5</v>
      </c>
      <c r="M78" s="280">
        <v>0</v>
      </c>
      <c r="N78" s="280">
        <v>1</v>
      </c>
      <c r="O78" s="280">
        <v>0.5</v>
      </c>
      <c r="P78" s="280">
        <v>0</v>
      </c>
      <c r="Q78" s="280">
        <v>1</v>
      </c>
      <c r="R78" s="280">
        <v>0.5</v>
      </c>
      <c r="S78" s="280">
        <v>0</v>
      </c>
      <c r="T78" s="280">
        <v>1</v>
      </c>
      <c r="U78" s="280">
        <v>0</v>
      </c>
      <c r="V78" s="280">
        <v>0</v>
      </c>
      <c r="W78" s="280">
        <v>0</v>
      </c>
      <c r="X78" s="280">
        <v>0</v>
      </c>
      <c r="Y78" s="281">
        <v>0.5</v>
      </c>
      <c r="Z78" s="203"/>
      <c r="AA78" s="201" t="e">
        <f t="shared" si="120"/>
        <v>#N/A</v>
      </c>
      <c r="AB78" s="1" t="e">
        <f t="shared" si="120"/>
        <v>#N/A</v>
      </c>
      <c r="AC78" s="1" t="e">
        <f t="shared" si="120"/>
        <v>#N/A</v>
      </c>
      <c r="AD78" s="1" t="e">
        <f t="shared" si="120"/>
        <v>#N/A</v>
      </c>
      <c r="AE78" s="1" t="e">
        <f t="shared" si="120"/>
        <v>#N/A</v>
      </c>
      <c r="AF78" s="1" t="e">
        <f t="shared" si="120"/>
        <v>#N/A</v>
      </c>
      <c r="AG78" s="1" t="e">
        <f t="shared" si="120"/>
        <v>#N/A</v>
      </c>
      <c r="AH78" s="1" t="e">
        <f t="shared" si="120"/>
        <v>#N/A</v>
      </c>
      <c r="AI78" s="1" t="e">
        <f t="shared" si="120"/>
        <v>#N/A</v>
      </c>
      <c r="AJ78" s="1" t="e">
        <f t="shared" si="120"/>
        <v>#N/A</v>
      </c>
      <c r="AK78" s="1" t="e">
        <f t="shared" si="121"/>
        <v>#N/A</v>
      </c>
      <c r="AL78" s="1" t="e">
        <f t="shared" si="121"/>
        <v>#N/A</v>
      </c>
      <c r="AM78" s="1" t="e">
        <f t="shared" si="121"/>
        <v>#N/A</v>
      </c>
      <c r="AN78" s="1" t="e">
        <f t="shared" si="121"/>
        <v>#N/A</v>
      </c>
      <c r="AO78" s="1" t="e">
        <f t="shared" si="121"/>
        <v>#N/A</v>
      </c>
      <c r="AP78" s="1" t="e">
        <f t="shared" si="121"/>
        <v>#N/A</v>
      </c>
      <c r="AQ78" s="1" t="e">
        <f t="shared" si="121"/>
        <v>#N/A</v>
      </c>
      <c r="AR78" s="202" t="e">
        <f t="shared" si="121"/>
        <v>#N/A</v>
      </c>
      <c r="AS78" s="147"/>
      <c r="AT78" s="147"/>
      <c r="AU78" s="147"/>
      <c r="AV78" s="147"/>
    </row>
    <row r="79" spans="1:48" x14ac:dyDescent="0.2">
      <c r="A79" s="196"/>
      <c r="B79" s="7" t="s">
        <v>168</v>
      </c>
      <c r="C79" s="197">
        <v>3</v>
      </c>
      <c r="D79" s="198" t="e">
        <f>IF($C$119=0,0,ROUND(NORMDIST($C79,$C$119,((10-($E$119-1))/(COUNT(C$77:C$80)/2)),FALSE),2))</f>
        <v>#N/A</v>
      </c>
      <c r="E79" s="199" t="e">
        <f>IF(AND(NOT(C$119=C79),OR(E$119=10,C$119=0)),0,1)</f>
        <v>#N/A</v>
      </c>
      <c r="F79" s="198" t="e">
        <f>IF(NOT($C$119=0),ROUND(($D79/MAX(D$77:D$80)),2),0)</f>
        <v>#N/A</v>
      </c>
      <c r="G79" s="200" t="e">
        <f>F79*D$119*E79</f>
        <v>#N/A</v>
      </c>
      <c r="H79" s="279">
        <v>1</v>
      </c>
      <c r="I79" s="280">
        <v>0.75</v>
      </c>
      <c r="J79" s="280">
        <v>0</v>
      </c>
      <c r="K79" s="280">
        <v>1</v>
      </c>
      <c r="L79" s="280">
        <v>0.75</v>
      </c>
      <c r="M79" s="280">
        <v>0</v>
      </c>
      <c r="N79" s="280">
        <v>1</v>
      </c>
      <c r="O79" s="280">
        <v>0.75</v>
      </c>
      <c r="P79" s="280">
        <v>0</v>
      </c>
      <c r="Q79" s="280">
        <v>1</v>
      </c>
      <c r="R79" s="280">
        <v>0.75</v>
      </c>
      <c r="S79" s="280">
        <v>0</v>
      </c>
      <c r="T79" s="280">
        <v>1</v>
      </c>
      <c r="U79" s="280">
        <v>1</v>
      </c>
      <c r="V79" s="280">
        <v>0</v>
      </c>
      <c r="W79" s="280">
        <v>0</v>
      </c>
      <c r="X79" s="280">
        <v>0</v>
      </c>
      <c r="Y79" s="281">
        <v>1</v>
      </c>
      <c r="Z79" s="203"/>
      <c r="AA79" s="201" t="e">
        <f t="shared" si="120"/>
        <v>#N/A</v>
      </c>
      <c r="AB79" s="1" t="e">
        <f t="shared" si="120"/>
        <v>#N/A</v>
      </c>
      <c r="AC79" s="1" t="e">
        <f t="shared" si="120"/>
        <v>#N/A</v>
      </c>
      <c r="AD79" s="1" t="e">
        <f t="shared" si="120"/>
        <v>#N/A</v>
      </c>
      <c r="AE79" s="1" t="e">
        <f t="shared" si="120"/>
        <v>#N/A</v>
      </c>
      <c r="AF79" s="1" t="e">
        <f t="shared" si="120"/>
        <v>#N/A</v>
      </c>
      <c r="AG79" s="1" t="e">
        <f t="shared" si="120"/>
        <v>#N/A</v>
      </c>
      <c r="AH79" s="1" t="e">
        <f t="shared" si="120"/>
        <v>#N/A</v>
      </c>
      <c r="AI79" s="1" t="e">
        <f t="shared" si="120"/>
        <v>#N/A</v>
      </c>
      <c r="AJ79" s="1" t="e">
        <f t="shared" si="120"/>
        <v>#N/A</v>
      </c>
      <c r="AK79" s="1" t="e">
        <f t="shared" si="121"/>
        <v>#N/A</v>
      </c>
      <c r="AL79" s="1" t="e">
        <f t="shared" si="121"/>
        <v>#N/A</v>
      </c>
      <c r="AM79" s="1" t="e">
        <f t="shared" si="121"/>
        <v>#N/A</v>
      </c>
      <c r="AN79" s="1" t="e">
        <f t="shared" si="121"/>
        <v>#N/A</v>
      </c>
      <c r="AO79" s="1" t="e">
        <f t="shared" si="121"/>
        <v>#N/A</v>
      </c>
      <c r="AP79" s="1" t="e">
        <f t="shared" si="121"/>
        <v>#N/A</v>
      </c>
      <c r="AQ79" s="1" t="e">
        <f t="shared" si="121"/>
        <v>#N/A</v>
      </c>
      <c r="AR79" s="202" t="e">
        <f t="shared" si="121"/>
        <v>#N/A</v>
      </c>
      <c r="AS79" s="147"/>
      <c r="AT79" s="147"/>
      <c r="AU79" s="147"/>
      <c r="AV79" s="147"/>
    </row>
    <row r="80" spans="1:48" ht="17" thickBot="1" x14ac:dyDescent="0.25">
      <c r="A80" s="196"/>
      <c r="B80" s="7" t="s">
        <v>171</v>
      </c>
      <c r="C80" s="197">
        <v>4</v>
      </c>
      <c r="D80" s="198" t="e">
        <f>IF($C$119=0,0,ROUND(NORMDIST($C80,$C$119,((10-($E$119-1))/(COUNT(C$77:C$80)/2)),FALSE),2))</f>
        <v>#N/A</v>
      </c>
      <c r="E80" s="199" t="e">
        <f>IF(AND(NOT(C$119=C80),OR(E$119=10,C$119=0)),0,1)</f>
        <v>#N/A</v>
      </c>
      <c r="F80" s="198" t="e">
        <f>IF(NOT($C$119=0),ROUND(($D80/MAX(D$77:D$80)),2),0)</f>
        <v>#N/A</v>
      </c>
      <c r="G80" s="200" t="e">
        <f>F80*D$119*E80</f>
        <v>#N/A</v>
      </c>
      <c r="H80" s="279">
        <v>1</v>
      </c>
      <c r="I80" s="280">
        <v>0.75</v>
      </c>
      <c r="J80" s="280">
        <v>0</v>
      </c>
      <c r="K80" s="280">
        <v>1</v>
      </c>
      <c r="L80" s="280">
        <v>0.75</v>
      </c>
      <c r="M80" s="280">
        <v>0</v>
      </c>
      <c r="N80" s="280">
        <v>1</v>
      </c>
      <c r="O80" s="280">
        <v>0.75</v>
      </c>
      <c r="P80" s="280">
        <v>0</v>
      </c>
      <c r="Q80" s="280">
        <v>1</v>
      </c>
      <c r="R80" s="280">
        <v>0.75</v>
      </c>
      <c r="S80" s="280">
        <v>0</v>
      </c>
      <c r="T80" s="280">
        <v>1</v>
      </c>
      <c r="U80" s="280">
        <v>1</v>
      </c>
      <c r="V80" s="280">
        <v>0</v>
      </c>
      <c r="W80" s="280">
        <v>0</v>
      </c>
      <c r="X80" s="280">
        <v>0</v>
      </c>
      <c r="Y80" s="281">
        <v>1</v>
      </c>
      <c r="Z80" s="203"/>
      <c r="AA80" s="201" t="e">
        <f t="shared" si="120"/>
        <v>#N/A</v>
      </c>
      <c r="AB80" s="1" t="e">
        <f t="shared" si="120"/>
        <v>#N/A</v>
      </c>
      <c r="AC80" s="1" t="e">
        <f t="shared" si="120"/>
        <v>#N/A</v>
      </c>
      <c r="AD80" s="1" t="e">
        <f t="shared" si="120"/>
        <v>#N/A</v>
      </c>
      <c r="AE80" s="1" t="e">
        <f t="shared" si="120"/>
        <v>#N/A</v>
      </c>
      <c r="AF80" s="1" t="e">
        <f t="shared" si="120"/>
        <v>#N/A</v>
      </c>
      <c r="AG80" s="1" t="e">
        <f t="shared" si="120"/>
        <v>#N/A</v>
      </c>
      <c r="AH80" s="1" t="e">
        <f t="shared" si="120"/>
        <v>#N/A</v>
      </c>
      <c r="AI80" s="1" t="e">
        <f t="shared" si="120"/>
        <v>#N/A</v>
      </c>
      <c r="AJ80" s="1" t="e">
        <f t="shared" si="120"/>
        <v>#N/A</v>
      </c>
      <c r="AK80" s="1" t="e">
        <f t="shared" si="121"/>
        <v>#N/A</v>
      </c>
      <c r="AL80" s="1" t="e">
        <f t="shared" si="121"/>
        <v>#N/A</v>
      </c>
      <c r="AM80" s="1" t="e">
        <f t="shared" si="121"/>
        <v>#N/A</v>
      </c>
      <c r="AN80" s="1" t="e">
        <f t="shared" si="121"/>
        <v>#N/A</v>
      </c>
      <c r="AO80" s="1" t="e">
        <f t="shared" si="121"/>
        <v>#N/A</v>
      </c>
      <c r="AP80" s="1" t="e">
        <f t="shared" si="121"/>
        <v>#N/A</v>
      </c>
      <c r="AQ80" s="1" t="e">
        <f t="shared" si="121"/>
        <v>#N/A</v>
      </c>
      <c r="AR80" s="202" t="e">
        <f t="shared" si="121"/>
        <v>#N/A</v>
      </c>
      <c r="AS80" s="147"/>
      <c r="AT80" s="147"/>
      <c r="AU80" s="147"/>
      <c r="AV80" s="147"/>
    </row>
    <row r="81" spans="1:48" s="215" customFormat="1" ht="17" thickBot="1" x14ac:dyDescent="0.25">
      <c r="A81" s="204" t="s">
        <v>74</v>
      </c>
      <c r="B81" s="205"/>
      <c r="C81" s="206"/>
      <c r="D81" s="207"/>
      <c r="E81" s="208"/>
      <c r="F81" s="207"/>
      <c r="G81" s="209" t="e">
        <f>MAX(G77:G80)</f>
        <v>#N/A</v>
      </c>
      <c r="H81" s="210"/>
      <c r="I81" s="211"/>
      <c r="J81" s="211"/>
      <c r="K81" s="211"/>
      <c r="L81" s="211"/>
      <c r="M81" s="211"/>
      <c r="N81" s="211"/>
      <c r="O81" s="211"/>
      <c r="P81" s="211"/>
      <c r="Q81" s="211"/>
      <c r="R81" s="211"/>
      <c r="S81" s="211"/>
      <c r="T81" s="211"/>
      <c r="U81" s="211"/>
      <c r="V81" s="211"/>
      <c r="W81" s="211"/>
      <c r="X81" s="211"/>
      <c r="Y81" s="212"/>
      <c r="Z81" s="213"/>
      <c r="AA81" s="210" t="e">
        <f>IF(COUNTA(AA77:AA80)=COUNTIF(AA77:AA80,""), "",MAX(AA77:AA80))</f>
        <v>#N/A</v>
      </c>
      <c r="AB81" s="211" t="e">
        <f t="shared" ref="AB81:AR81" si="122">IF(COUNTA(AB77:AB80)=COUNTIF(AB77:AB80,""), "",MAX(AB77:AB80))</f>
        <v>#N/A</v>
      </c>
      <c r="AC81" s="211" t="e">
        <f t="shared" si="122"/>
        <v>#N/A</v>
      </c>
      <c r="AD81" s="211" t="e">
        <f t="shared" si="122"/>
        <v>#N/A</v>
      </c>
      <c r="AE81" s="211" t="e">
        <f t="shared" si="122"/>
        <v>#N/A</v>
      </c>
      <c r="AF81" s="211" t="e">
        <f t="shared" si="122"/>
        <v>#N/A</v>
      </c>
      <c r="AG81" s="211" t="e">
        <f t="shared" si="122"/>
        <v>#N/A</v>
      </c>
      <c r="AH81" s="211" t="e">
        <f t="shared" si="122"/>
        <v>#N/A</v>
      </c>
      <c r="AI81" s="211" t="e">
        <f t="shared" si="122"/>
        <v>#N/A</v>
      </c>
      <c r="AJ81" s="211" t="e">
        <f t="shared" si="122"/>
        <v>#N/A</v>
      </c>
      <c r="AK81" s="211" t="e">
        <f t="shared" si="122"/>
        <v>#N/A</v>
      </c>
      <c r="AL81" s="211" t="e">
        <f t="shared" si="122"/>
        <v>#N/A</v>
      </c>
      <c r="AM81" s="211" t="e">
        <f t="shared" si="122"/>
        <v>#N/A</v>
      </c>
      <c r="AN81" s="211" t="e">
        <f t="shared" si="122"/>
        <v>#N/A</v>
      </c>
      <c r="AO81" s="211" t="e">
        <f t="shared" si="122"/>
        <v>#N/A</v>
      </c>
      <c r="AP81" s="211" t="e">
        <f t="shared" si="122"/>
        <v>#N/A</v>
      </c>
      <c r="AQ81" s="211" t="e">
        <f t="shared" si="122"/>
        <v>#N/A</v>
      </c>
      <c r="AR81" s="212" t="e">
        <f t="shared" si="122"/>
        <v>#N/A</v>
      </c>
      <c r="AS81" s="214"/>
      <c r="AT81" s="214"/>
      <c r="AU81" s="214"/>
      <c r="AV81" s="214"/>
    </row>
    <row r="82" spans="1:48" ht="17" thickBot="1" x14ac:dyDescent="0.25">
      <c r="A82" s="216"/>
      <c r="B82" s="181" t="s">
        <v>189</v>
      </c>
      <c r="C82" s="249"/>
      <c r="D82" s="203"/>
      <c r="E82" s="203"/>
      <c r="F82" s="203"/>
      <c r="G82" s="220"/>
      <c r="H82" s="221"/>
      <c r="I82" s="203"/>
      <c r="J82" s="203"/>
      <c r="K82" s="203"/>
      <c r="L82" s="203"/>
      <c r="M82" s="203"/>
      <c r="N82" s="203"/>
      <c r="O82" s="203"/>
      <c r="P82" s="203"/>
      <c r="Q82" s="203"/>
      <c r="R82" s="203"/>
      <c r="S82" s="203"/>
      <c r="T82" s="203"/>
      <c r="U82" s="203"/>
      <c r="V82" s="203"/>
      <c r="W82" s="203"/>
      <c r="X82" s="203"/>
      <c r="Y82" s="222"/>
      <c r="Z82" s="203"/>
      <c r="AA82" s="221"/>
      <c r="AB82" s="203"/>
      <c r="AC82" s="203"/>
      <c r="AD82" s="203"/>
      <c r="AE82" s="203"/>
      <c r="AF82" s="203"/>
      <c r="AG82" s="203"/>
      <c r="AH82" s="203"/>
      <c r="AI82" s="203"/>
      <c r="AJ82" s="203"/>
      <c r="AK82" s="203"/>
      <c r="AL82" s="203"/>
      <c r="AM82" s="203"/>
      <c r="AN82" s="203"/>
      <c r="AO82" s="203"/>
      <c r="AP82" s="203"/>
      <c r="AQ82" s="203"/>
      <c r="AR82" s="222"/>
      <c r="AS82" s="147"/>
      <c r="AT82" s="147"/>
      <c r="AU82" s="147"/>
      <c r="AV82" s="147"/>
    </row>
    <row r="83" spans="1:48" x14ac:dyDescent="0.2">
      <c r="A83" s="188" t="s">
        <v>166</v>
      </c>
      <c r="B83" s="157" t="s">
        <v>172</v>
      </c>
      <c r="C83" s="189">
        <v>1</v>
      </c>
      <c r="D83" s="190" t="e">
        <f>IF($C$120=0,0,ROUND(NORMDIST($C83,$C$120,((10-($E$120-1))/(COUNT(C$83:C$85)/2)),FALSE),2))</f>
        <v>#N/A</v>
      </c>
      <c r="E83" s="191" t="e">
        <f>IF(AND(NOT(C$120=C83),OR(E$120=10,C$120=0)),0,1)</f>
        <v>#N/A</v>
      </c>
      <c r="F83" s="190" t="e">
        <f>IF(NOT($C$120=0),ROUND(($D83/MAX(D$83:D$85)),2),0)</f>
        <v>#N/A</v>
      </c>
      <c r="G83" s="192" t="e">
        <f>F83*D$120*E83</f>
        <v>#N/A</v>
      </c>
      <c r="H83" s="276">
        <v>1</v>
      </c>
      <c r="I83" s="277">
        <v>0</v>
      </c>
      <c r="J83" s="277">
        <v>1</v>
      </c>
      <c r="K83" s="277">
        <v>0</v>
      </c>
      <c r="L83" s="277">
        <v>0</v>
      </c>
      <c r="M83" s="277">
        <v>1</v>
      </c>
      <c r="N83" s="277">
        <v>0</v>
      </c>
      <c r="O83" s="277">
        <v>0</v>
      </c>
      <c r="P83" s="277">
        <v>1</v>
      </c>
      <c r="Q83" s="277">
        <v>0</v>
      </c>
      <c r="R83" s="277">
        <v>0</v>
      </c>
      <c r="S83" s="277">
        <v>1</v>
      </c>
      <c r="T83" s="277">
        <v>0</v>
      </c>
      <c r="U83" s="277">
        <v>0</v>
      </c>
      <c r="V83" s="277">
        <v>0</v>
      </c>
      <c r="W83" s="277">
        <v>0</v>
      </c>
      <c r="X83" s="277">
        <v>1</v>
      </c>
      <c r="Y83" s="277">
        <v>0</v>
      </c>
      <c r="Z83" s="184"/>
      <c r="AA83" s="193" t="e">
        <f t="shared" ref="AA83:AJ85" si="123">IF($G83=0,"",ROUND(H83*$G83,2))</f>
        <v>#N/A</v>
      </c>
      <c r="AB83" s="194" t="e">
        <f t="shared" si="123"/>
        <v>#N/A</v>
      </c>
      <c r="AC83" s="194" t="e">
        <f t="shared" si="123"/>
        <v>#N/A</v>
      </c>
      <c r="AD83" s="194" t="e">
        <f t="shared" si="123"/>
        <v>#N/A</v>
      </c>
      <c r="AE83" s="194" t="e">
        <f t="shared" si="123"/>
        <v>#N/A</v>
      </c>
      <c r="AF83" s="194" t="e">
        <f t="shared" si="123"/>
        <v>#N/A</v>
      </c>
      <c r="AG83" s="194" t="e">
        <f t="shared" si="123"/>
        <v>#N/A</v>
      </c>
      <c r="AH83" s="194" t="e">
        <f t="shared" si="123"/>
        <v>#N/A</v>
      </c>
      <c r="AI83" s="194" t="e">
        <f t="shared" si="123"/>
        <v>#N/A</v>
      </c>
      <c r="AJ83" s="194" t="e">
        <f t="shared" si="123"/>
        <v>#N/A</v>
      </c>
      <c r="AK83" s="194" t="e">
        <f t="shared" ref="AK83:AR85" si="124">IF($G83=0,"",ROUND(R83*$G83,2))</f>
        <v>#N/A</v>
      </c>
      <c r="AL83" s="194" t="e">
        <f t="shared" si="124"/>
        <v>#N/A</v>
      </c>
      <c r="AM83" s="194" t="e">
        <f t="shared" si="124"/>
        <v>#N/A</v>
      </c>
      <c r="AN83" s="194" t="e">
        <f t="shared" si="124"/>
        <v>#N/A</v>
      </c>
      <c r="AO83" s="194" t="e">
        <f t="shared" si="124"/>
        <v>#N/A</v>
      </c>
      <c r="AP83" s="194" t="e">
        <f t="shared" si="124"/>
        <v>#N/A</v>
      </c>
      <c r="AQ83" s="194" t="e">
        <f t="shared" si="124"/>
        <v>#N/A</v>
      </c>
      <c r="AR83" s="195" t="e">
        <f t="shared" si="124"/>
        <v>#N/A</v>
      </c>
      <c r="AS83" s="147"/>
      <c r="AT83" s="147"/>
      <c r="AU83" s="147"/>
      <c r="AV83" s="147"/>
    </row>
    <row r="84" spans="1:48" x14ac:dyDescent="0.2">
      <c r="A84" s="196"/>
      <c r="B84" s="7" t="s">
        <v>173</v>
      </c>
      <c r="C84" s="197">
        <v>2</v>
      </c>
      <c r="D84" s="198" t="e">
        <f>IF($C$120=0,0,ROUND(NORMDIST($C84,$C$120,((10-($E$120-1))/(COUNT(C$83:C$85)/2)),FALSE),2))</f>
        <v>#N/A</v>
      </c>
      <c r="E84" s="199" t="e">
        <f>IF(AND(NOT(C$120=C84),OR(E$120=10,C$120=0)),0,1)</f>
        <v>#N/A</v>
      </c>
      <c r="F84" s="198" t="e">
        <f>IF(NOT($C$120=0),ROUND(($D84/MAX(D$83:D$85)),2),0)</f>
        <v>#N/A</v>
      </c>
      <c r="G84" s="200" t="e">
        <f>F84*D$120*E84</f>
        <v>#N/A</v>
      </c>
      <c r="H84" s="279">
        <v>1</v>
      </c>
      <c r="I84" s="280">
        <v>1</v>
      </c>
      <c r="J84" s="280">
        <v>1</v>
      </c>
      <c r="K84" s="280">
        <v>0</v>
      </c>
      <c r="L84" s="280">
        <v>1</v>
      </c>
      <c r="M84" s="280">
        <v>1</v>
      </c>
      <c r="N84" s="280">
        <v>0</v>
      </c>
      <c r="O84" s="280">
        <v>1</v>
      </c>
      <c r="P84" s="280">
        <v>1</v>
      </c>
      <c r="Q84" s="280">
        <v>0</v>
      </c>
      <c r="R84" s="280">
        <v>1</v>
      </c>
      <c r="S84" s="280">
        <v>1</v>
      </c>
      <c r="T84" s="280">
        <v>0</v>
      </c>
      <c r="U84" s="280">
        <v>0</v>
      </c>
      <c r="V84" s="280">
        <v>0.5</v>
      </c>
      <c r="W84" s="280">
        <v>1</v>
      </c>
      <c r="X84" s="280">
        <v>1</v>
      </c>
      <c r="Y84" s="280">
        <v>0</v>
      </c>
      <c r="Z84" s="220"/>
      <c r="AA84" s="201" t="e">
        <f t="shared" si="123"/>
        <v>#N/A</v>
      </c>
      <c r="AB84" s="1" t="e">
        <f t="shared" si="123"/>
        <v>#N/A</v>
      </c>
      <c r="AC84" s="1" t="e">
        <f t="shared" si="123"/>
        <v>#N/A</v>
      </c>
      <c r="AD84" s="1" t="e">
        <f t="shared" si="123"/>
        <v>#N/A</v>
      </c>
      <c r="AE84" s="1" t="e">
        <f t="shared" si="123"/>
        <v>#N/A</v>
      </c>
      <c r="AF84" s="1" t="e">
        <f t="shared" si="123"/>
        <v>#N/A</v>
      </c>
      <c r="AG84" s="1" t="e">
        <f t="shared" si="123"/>
        <v>#N/A</v>
      </c>
      <c r="AH84" s="1" t="e">
        <f t="shared" si="123"/>
        <v>#N/A</v>
      </c>
      <c r="AI84" s="1" t="e">
        <f t="shared" si="123"/>
        <v>#N/A</v>
      </c>
      <c r="AJ84" s="1" t="e">
        <f t="shared" si="123"/>
        <v>#N/A</v>
      </c>
      <c r="AK84" s="1" t="e">
        <f t="shared" si="124"/>
        <v>#N/A</v>
      </c>
      <c r="AL84" s="1" t="e">
        <f t="shared" si="124"/>
        <v>#N/A</v>
      </c>
      <c r="AM84" s="1" t="e">
        <f t="shared" si="124"/>
        <v>#N/A</v>
      </c>
      <c r="AN84" s="1" t="e">
        <f t="shared" si="124"/>
        <v>#N/A</v>
      </c>
      <c r="AO84" s="1" t="e">
        <f t="shared" si="124"/>
        <v>#N/A</v>
      </c>
      <c r="AP84" s="1" t="e">
        <f t="shared" si="124"/>
        <v>#N/A</v>
      </c>
      <c r="AQ84" s="1" t="e">
        <f t="shared" si="124"/>
        <v>#N/A</v>
      </c>
      <c r="AR84" s="202" t="e">
        <f t="shared" si="124"/>
        <v>#N/A</v>
      </c>
      <c r="AS84" s="147"/>
      <c r="AT84" s="147"/>
      <c r="AU84" s="147"/>
      <c r="AV84" s="147"/>
    </row>
    <row r="85" spans="1:48" ht="17" thickBot="1" x14ac:dyDescent="0.25">
      <c r="A85" s="196"/>
      <c r="B85" s="7" t="s">
        <v>174</v>
      </c>
      <c r="C85" s="197">
        <v>3</v>
      </c>
      <c r="D85" s="198" t="e">
        <f>IF($C$120=0,0,ROUND(NORMDIST($C85,$C$120,((10-($E$120-1))/(COUNT(C$83:C$85)/2)),FALSE),2))</f>
        <v>#N/A</v>
      </c>
      <c r="E85" s="199" t="e">
        <f>IF(AND(NOT(C$120=C85),OR(E$120=10,C$120=0)),0,1)</f>
        <v>#N/A</v>
      </c>
      <c r="F85" s="198" t="e">
        <f>IF(NOT($C$120=0),ROUND(($D85/MAX(D$83:D$85)),2),0)</f>
        <v>#N/A</v>
      </c>
      <c r="G85" s="200" t="e">
        <f>F85*D$120*E85</f>
        <v>#N/A</v>
      </c>
      <c r="H85" s="279">
        <v>1</v>
      </c>
      <c r="I85" s="280">
        <v>1</v>
      </c>
      <c r="J85" s="280">
        <v>1</v>
      </c>
      <c r="K85" s="280">
        <v>0</v>
      </c>
      <c r="L85" s="280">
        <v>1</v>
      </c>
      <c r="M85" s="280">
        <v>1</v>
      </c>
      <c r="N85" s="280">
        <v>0</v>
      </c>
      <c r="O85" s="280">
        <v>1</v>
      </c>
      <c r="P85" s="280">
        <v>1</v>
      </c>
      <c r="Q85" s="280">
        <v>0</v>
      </c>
      <c r="R85" s="280">
        <v>1</v>
      </c>
      <c r="S85" s="280">
        <v>1</v>
      </c>
      <c r="T85" s="280">
        <v>0</v>
      </c>
      <c r="U85" s="280">
        <v>0</v>
      </c>
      <c r="V85" s="280">
        <v>1</v>
      </c>
      <c r="W85" s="280">
        <v>1</v>
      </c>
      <c r="X85" s="280">
        <v>1</v>
      </c>
      <c r="Y85" s="280">
        <v>0</v>
      </c>
      <c r="Z85" s="227"/>
      <c r="AA85" s="201" t="e">
        <f t="shared" si="123"/>
        <v>#N/A</v>
      </c>
      <c r="AB85" s="1" t="e">
        <f t="shared" si="123"/>
        <v>#N/A</v>
      </c>
      <c r="AC85" s="1" t="e">
        <f t="shared" si="123"/>
        <v>#N/A</v>
      </c>
      <c r="AD85" s="1" t="e">
        <f t="shared" si="123"/>
        <v>#N/A</v>
      </c>
      <c r="AE85" s="1" t="e">
        <f t="shared" si="123"/>
        <v>#N/A</v>
      </c>
      <c r="AF85" s="1" t="e">
        <f t="shared" si="123"/>
        <v>#N/A</v>
      </c>
      <c r="AG85" s="1" t="e">
        <f t="shared" si="123"/>
        <v>#N/A</v>
      </c>
      <c r="AH85" s="1" t="e">
        <f t="shared" si="123"/>
        <v>#N/A</v>
      </c>
      <c r="AI85" s="1" t="e">
        <f t="shared" si="123"/>
        <v>#N/A</v>
      </c>
      <c r="AJ85" s="1" t="e">
        <f t="shared" si="123"/>
        <v>#N/A</v>
      </c>
      <c r="AK85" s="1" t="e">
        <f t="shared" si="124"/>
        <v>#N/A</v>
      </c>
      <c r="AL85" s="1" t="e">
        <f t="shared" si="124"/>
        <v>#N/A</v>
      </c>
      <c r="AM85" s="1" t="e">
        <f t="shared" si="124"/>
        <v>#N/A</v>
      </c>
      <c r="AN85" s="1" t="e">
        <f t="shared" si="124"/>
        <v>#N/A</v>
      </c>
      <c r="AO85" s="1" t="e">
        <f t="shared" si="124"/>
        <v>#N/A</v>
      </c>
      <c r="AP85" s="1" t="e">
        <f t="shared" si="124"/>
        <v>#N/A</v>
      </c>
      <c r="AQ85" s="1" t="e">
        <f t="shared" si="124"/>
        <v>#N/A</v>
      </c>
      <c r="AR85" s="202" t="e">
        <f t="shared" si="124"/>
        <v>#N/A</v>
      </c>
      <c r="AS85" s="147"/>
      <c r="AT85" s="147"/>
      <c r="AU85" s="147"/>
      <c r="AV85" s="147"/>
    </row>
    <row r="86" spans="1:48" s="215" customFormat="1" ht="17" thickBot="1" x14ac:dyDescent="0.25">
      <c r="A86" s="204" t="s">
        <v>74</v>
      </c>
      <c r="B86" s="205"/>
      <c r="C86" s="206"/>
      <c r="D86" s="207"/>
      <c r="E86" s="208"/>
      <c r="F86" s="207"/>
      <c r="G86" s="209" t="e">
        <f>MAX(G83:G85)</f>
        <v>#N/A</v>
      </c>
      <c r="H86" s="210"/>
      <c r="I86" s="211"/>
      <c r="J86" s="211"/>
      <c r="K86" s="211"/>
      <c r="L86" s="211"/>
      <c r="M86" s="211"/>
      <c r="N86" s="211"/>
      <c r="O86" s="211"/>
      <c r="P86" s="211"/>
      <c r="Q86" s="211"/>
      <c r="R86" s="211"/>
      <c r="S86" s="211"/>
      <c r="T86" s="211"/>
      <c r="U86" s="211"/>
      <c r="V86" s="211"/>
      <c r="W86" s="211"/>
      <c r="X86" s="211"/>
      <c r="Y86" s="212"/>
      <c r="Z86" s="213"/>
      <c r="AA86" s="210" t="e">
        <f>IF(COUNTA(AA83:AA85)=COUNTIF(AA83:AA85,""), "",MAX(AA83:AA85))</f>
        <v>#N/A</v>
      </c>
      <c r="AB86" s="211" t="e">
        <f t="shared" ref="AB86:AR86" si="125">IF(COUNTA(AB83:AB85)=COUNTIF(AB83:AB85,""), "",MAX(AB83:AB85))</f>
        <v>#N/A</v>
      </c>
      <c r="AC86" s="211" t="e">
        <f t="shared" si="125"/>
        <v>#N/A</v>
      </c>
      <c r="AD86" s="211" t="e">
        <f t="shared" si="125"/>
        <v>#N/A</v>
      </c>
      <c r="AE86" s="211" t="e">
        <f t="shared" si="125"/>
        <v>#N/A</v>
      </c>
      <c r="AF86" s="211" t="e">
        <f t="shared" si="125"/>
        <v>#N/A</v>
      </c>
      <c r="AG86" s="211" t="e">
        <f t="shared" si="125"/>
        <v>#N/A</v>
      </c>
      <c r="AH86" s="211" t="e">
        <f t="shared" si="125"/>
        <v>#N/A</v>
      </c>
      <c r="AI86" s="211" t="e">
        <f t="shared" si="125"/>
        <v>#N/A</v>
      </c>
      <c r="AJ86" s="211" t="e">
        <f t="shared" si="125"/>
        <v>#N/A</v>
      </c>
      <c r="AK86" s="211" t="e">
        <f t="shared" si="125"/>
        <v>#N/A</v>
      </c>
      <c r="AL86" s="211" t="e">
        <f t="shared" si="125"/>
        <v>#N/A</v>
      </c>
      <c r="AM86" s="211" t="e">
        <f t="shared" si="125"/>
        <v>#N/A</v>
      </c>
      <c r="AN86" s="211" t="e">
        <f t="shared" si="125"/>
        <v>#N/A</v>
      </c>
      <c r="AO86" s="211" t="e">
        <f t="shared" si="125"/>
        <v>#N/A</v>
      </c>
      <c r="AP86" s="211" t="e">
        <f t="shared" si="125"/>
        <v>#N/A</v>
      </c>
      <c r="AQ86" s="211" t="e">
        <f t="shared" si="125"/>
        <v>#N/A</v>
      </c>
      <c r="AR86" s="212" t="e">
        <f t="shared" si="125"/>
        <v>#N/A</v>
      </c>
      <c r="AS86" s="214"/>
      <c r="AT86" s="214"/>
      <c r="AU86" s="214"/>
      <c r="AV86" s="214"/>
    </row>
    <row r="87" spans="1:48" ht="17" thickBot="1" x14ac:dyDescent="0.25">
      <c r="A87" s="216"/>
      <c r="B87" s="261"/>
      <c r="C87" s="249"/>
      <c r="D87" s="203"/>
      <c r="E87" s="203"/>
      <c r="F87" s="203"/>
      <c r="G87" s="220"/>
      <c r="H87" s="221"/>
      <c r="I87" s="203"/>
      <c r="J87" s="203"/>
      <c r="K87" s="203"/>
      <c r="L87" s="203"/>
      <c r="M87" s="203"/>
      <c r="N87" s="203"/>
      <c r="O87" s="203"/>
      <c r="P87" s="203"/>
      <c r="Q87" s="203"/>
      <c r="R87" s="203"/>
      <c r="S87" s="203"/>
      <c r="T87" s="203"/>
      <c r="U87" s="203"/>
      <c r="V87" s="203"/>
      <c r="W87" s="203"/>
      <c r="X87" s="203"/>
      <c r="Y87" s="222"/>
      <c r="Z87" s="203"/>
      <c r="AA87" s="221"/>
      <c r="AB87" s="203"/>
      <c r="AC87" s="203"/>
      <c r="AD87" s="203"/>
      <c r="AE87" s="203"/>
      <c r="AF87" s="203"/>
      <c r="AG87" s="203"/>
      <c r="AH87" s="203"/>
      <c r="AI87" s="203"/>
      <c r="AJ87" s="203"/>
      <c r="AK87" s="203"/>
      <c r="AL87" s="203"/>
      <c r="AM87" s="203"/>
      <c r="AN87" s="203"/>
      <c r="AO87" s="203"/>
      <c r="AP87" s="203"/>
      <c r="AQ87" s="203"/>
      <c r="AR87" s="222"/>
      <c r="AS87" s="147"/>
      <c r="AT87" s="147"/>
      <c r="AU87" s="147"/>
      <c r="AV87" s="147"/>
    </row>
    <row r="88" spans="1:48" ht="16" customHeight="1" x14ac:dyDescent="0.2">
      <c r="A88" s="282" t="s">
        <v>195</v>
      </c>
      <c r="B88" s="283">
        <f>IF('Data Table'!C21="hectares",'Data Table'!B21,IF('Data Table'!C21="km2",'Data Table'!B21*100,0))</f>
        <v>0</v>
      </c>
      <c r="C88" s="284" t="s">
        <v>81</v>
      </c>
      <c r="D88" s="285" t="s">
        <v>85</v>
      </c>
      <c r="E88" s="286"/>
      <c r="F88" s="287"/>
      <c r="G88" s="288"/>
      <c r="H88" s="289">
        <f>H89*100</f>
        <v>100</v>
      </c>
      <c r="I88" s="283">
        <v>100</v>
      </c>
      <c r="J88" s="283">
        <v>100</v>
      </c>
      <c r="K88" s="283">
        <v>100</v>
      </c>
      <c r="L88" s="283">
        <f t="shared" ref="L88:U88" si="126">L89*100</f>
        <v>5000</v>
      </c>
      <c r="M88" s="283">
        <v>5000</v>
      </c>
      <c r="N88" s="283">
        <f t="shared" si="126"/>
        <v>5000</v>
      </c>
      <c r="O88" s="283">
        <f t="shared" si="126"/>
        <v>20000</v>
      </c>
      <c r="P88" s="283">
        <f t="shared" si="126"/>
        <v>20000</v>
      </c>
      <c r="Q88" s="283">
        <f t="shared" si="126"/>
        <v>20000</v>
      </c>
      <c r="R88" s="283">
        <f t="shared" si="126"/>
        <v>20000</v>
      </c>
      <c r="S88" s="283">
        <f t="shared" si="126"/>
        <v>20000</v>
      </c>
      <c r="T88" s="283">
        <f t="shared" si="126"/>
        <v>20000</v>
      </c>
      <c r="U88" s="283">
        <f t="shared" si="126"/>
        <v>20000</v>
      </c>
      <c r="V88" s="283">
        <v>0</v>
      </c>
      <c r="W88" s="283">
        <f>W89*100</f>
        <v>50000</v>
      </c>
      <c r="X88" s="283">
        <f>X89*100</f>
        <v>50000</v>
      </c>
      <c r="Y88" s="290">
        <f>Y89*100</f>
        <v>50000</v>
      </c>
      <c r="Z88" s="291"/>
      <c r="AA88" s="289"/>
      <c r="AB88" s="283"/>
      <c r="AC88" s="283"/>
      <c r="AD88" s="283"/>
      <c r="AE88" s="283"/>
      <c r="AF88" s="283"/>
      <c r="AG88" s="283"/>
      <c r="AH88" s="283"/>
      <c r="AI88" s="283"/>
      <c r="AJ88" s="283"/>
      <c r="AK88" s="283"/>
      <c r="AL88" s="283"/>
      <c r="AM88" s="283"/>
      <c r="AN88" s="283"/>
      <c r="AO88" s="283"/>
      <c r="AP88" s="283"/>
      <c r="AQ88" s="283"/>
      <c r="AR88" s="292"/>
      <c r="AS88" s="147"/>
      <c r="AT88" s="147"/>
      <c r="AU88" s="147"/>
      <c r="AV88" s="147"/>
    </row>
    <row r="89" spans="1:48" ht="16" customHeight="1" x14ac:dyDescent="0.2">
      <c r="A89" s="293" t="s">
        <v>196</v>
      </c>
      <c r="B89" s="294">
        <f>IF('Data Table'!C21="km2",'Data Table'!B21,IF('Data Table'!C21="hectares",'Data Table'!B21/100,0))</f>
        <v>0</v>
      </c>
      <c r="C89" s="295"/>
      <c r="D89" s="296"/>
      <c r="E89" s="297"/>
      <c r="F89" s="298"/>
      <c r="G89" s="299"/>
      <c r="H89" s="300">
        <v>1</v>
      </c>
      <c r="I89" s="294">
        <v>1</v>
      </c>
      <c r="J89" s="294">
        <v>1</v>
      </c>
      <c r="K89" s="294">
        <v>1</v>
      </c>
      <c r="L89" s="294">
        <v>50</v>
      </c>
      <c r="M89" s="294">
        <v>50</v>
      </c>
      <c r="N89" s="294">
        <v>50</v>
      </c>
      <c r="O89" s="294">
        <v>200</v>
      </c>
      <c r="P89" s="294">
        <v>200</v>
      </c>
      <c r="Q89" s="294">
        <v>200</v>
      </c>
      <c r="R89" s="294">
        <v>200</v>
      </c>
      <c r="S89" s="294">
        <v>200</v>
      </c>
      <c r="T89" s="294">
        <v>200</v>
      </c>
      <c r="U89" s="294">
        <v>200</v>
      </c>
      <c r="V89" s="294">
        <v>0</v>
      </c>
      <c r="W89" s="294">
        <v>500</v>
      </c>
      <c r="X89" s="294">
        <v>500</v>
      </c>
      <c r="Y89" s="301">
        <v>500</v>
      </c>
      <c r="Z89" s="302" t="s">
        <v>81</v>
      </c>
      <c r="AA89" s="201">
        <f>IF(MIN($H91:$Y91,$B$96)=0,RANK(H91,($H91:$Y91,$B$96),1)-1,RANK(H91,($H91:$Y91,$B$96),1))</f>
        <v>0</v>
      </c>
      <c r="AB89" s="1">
        <f>IF(MIN($H91:$Y91,$B$96)=0,RANK(I91,($H91:$Y91,$B$96),1)-1,RANK(I91,($H91:$Y91,$B$96),1))</f>
        <v>0</v>
      </c>
      <c r="AC89" s="1">
        <f>IF(MIN($H91:$Y91,$B$96)=0,RANK(J91,($H91:$Y91,$B$96),1)-1,RANK(J91,($H91:$Y91,$B$96),1))</f>
        <v>0</v>
      </c>
      <c r="AD89" s="1">
        <f>IF(MIN($H91:$Y91,$B$96)=0,RANK(K91,($H91:$Y91,$B$96),1)-1,RANK(K91,($H91:$Y91,$B$96),1))</f>
        <v>0</v>
      </c>
      <c r="AE89" s="1">
        <f>IF(MIN($H91:$Y91,$B$96)=0,RANK(L91,($H91:$Y91,$B$96),1)-1,RANK(L91,($H91:$Y91,$B$96),1))</f>
        <v>0</v>
      </c>
      <c r="AF89" s="1">
        <f>IF(MIN($H91:$Y91,$B$96)=0,RANK(M91,($H91:$Y91,$B$96),1)-1,RANK(M91,($H91:$Y91,$B$96),1))</f>
        <v>0</v>
      </c>
      <c r="AG89" s="1">
        <f>IF(MIN($H91:$Y91,$B$96)=0,RANK(N91,($H91:$Y91,$B$96),1)-1,RANK(N91,($H91:$Y91,$B$96),1))</f>
        <v>0</v>
      </c>
      <c r="AH89" s="1">
        <f>IF(MIN($H91:$Y91,$B$96)=0,RANK(O91,($H91:$Y91,$B$96),1)-1,RANK(O91,($H91:$Y91,$B$96),1))</f>
        <v>0</v>
      </c>
      <c r="AI89" s="1">
        <f>IF(MIN($H91:$Y91,$B$96)=0,RANK(P91,($H91:$Y91,$B$96),1)-1,RANK(P91,($H91:$Y91,$B$96),1))</f>
        <v>0</v>
      </c>
      <c r="AJ89" s="1">
        <f>IF(MIN($H91:$Y91,$B$96)=0,RANK(Q91,($H91:$Y91,$B$96),1)-1,RANK(Q91,($H91:$Y91,$B$96),1))</f>
        <v>0</v>
      </c>
      <c r="AK89" s="1">
        <f>IF(MIN($H91:$Y91,$B$96)=0,RANK(R91,($H91:$Y91,$B$96),1)-1,RANK(R91,($H91:$Y91,$B$96),1))</f>
        <v>0</v>
      </c>
      <c r="AL89" s="1">
        <f>IF(MIN($H91:$Y91,$B$96)=0,RANK(S91,($H91:$Y91,$B$96),1)-1,RANK(S91,($H91:$Y91,$B$96),1))</f>
        <v>0</v>
      </c>
      <c r="AM89" s="1">
        <f>IF(MIN($H91:$Y91,$B$96)=0,RANK(T91,($H91:$Y91,$B$96),1)-1,RANK(T91,($H91:$Y91,$B$96),1))</f>
        <v>0</v>
      </c>
      <c r="AN89" s="1">
        <f>IF(MIN($H91:$Y91,$B$96)=0,RANK(U91,($H91:$Y91,$B$96),1)-1,RANK(U91,($H91:$Y91,$B$96),1))</f>
        <v>0</v>
      </c>
      <c r="AO89" s="1">
        <f>IF(MIN($H91:$Y91,$B$96)=0,RANK(V91,($H91:$Y91,$B$96),1)-1,RANK(V91,($H91:$Y91,$B$96),1))</f>
        <v>0</v>
      </c>
      <c r="AP89" s="1">
        <f>IF(MIN($H91:$Y91,$B$96)=0,RANK(W91,($H91:$Y91,$B$96),1)-1,RANK(W91,($H91:$Y91,$B$96),1))</f>
        <v>0</v>
      </c>
      <c r="AQ89" s="1">
        <f>IF(MIN($H91:$Y91,$B$96)=0,RANK(X91,($H91:$Y91,$B$96),1)-1,RANK(X91,($H91:$Y91,$B$96),1))</f>
        <v>0</v>
      </c>
      <c r="AR89" s="242">
        <f>IF(MIN($H91:$Y91,$B$96)=0,RANK(Y91,($H91:$Y91,$B$96),1)-1,RANK(Y91,($H91:$Y91,$B$96),1))</f>
        <v>0</v>
      </c>
      <c r="AS89" s="147"/>
      <c r="AT89" s="147"/>
      <c r="AU89" s="147"/>
      <c r="AV89" s="147"/>
    </row>
    <row r="90" spans="1:48" ht="17" thickBot="1" x14ac:dyDescent="0.25">
      <c r="A90" s="241" t="s">
        <v>83</v>
      </c>
      <c r="B90" s="303">
        <f>IF('Data Table'!B18=0,0,IF('Data Table'!C18="£ per hectare",'Data Table'!B18,'Data Table'!B18/B88))</f>
        <v>0</v>
      </c>
      <c r="C90" s="304"/>
      <c r="D90" s="305"/>
      <c r="E90" s="306" t="s">
        <v>79</v>
      </c>
      <c r="F90" s="306" t="s">
        <v>80</v>
      </c>
      <c r="G90" s="200"/>
      <c r="H90" s="307">
        <f>500/H88</f>
        <v>5</v>
      </c>
      <c r="I90" s="303">
        <f>1500/I88</f>
        <v>15</v>
      </c>
      <c r="J90" s="303">
        <f>1750/J88</f>
        <v>17.5</v>
      </c>
      <c r="K90" s="303">
        <f>2000/K88</f>
        <v>20</v>
      </c>
      <c r="L90" s="303">
        <f>3000/L88</f>
        <v>0.6</v>
      </c>
      <c r="M90" s="303">
        <f>3500/M88</f>
        <v>0.7</v>
      </c>
      <c r="N90" s="303">
        <f>4000/N88</f>
        <v>0.8</v>
      </c>
      <c r="O90" s="303">
        <f>5000/O88</f>
        <v>0.25</v>
      </c>
      <c r="P90" s="303">
        <f>5000/P88</f>
        <v>0.25</v>
      </c>
      <c r="Q90" s="303">
        <f>5000/Q88</f>
        <v>0.25</v>
      </c>
      <c r="R90" s="303">
        <f>5000/R88</f>
        <v>0.25</v>
      </c>
      <c r="S90" s="303">
        <f t="shared" ref="S90:U90" si="127">50000/S88</f>
        <v>2.5</v>
      </c>
      <c r="T90" s="303">
        <f t="shared" si="127"/>
        <v>2.5</v>
      </c>
      <c r="U90" s="303">
        <f t="shared" si="127"/>
        <v>2.5</v>
      </c>
      <c r="V90" s="303">
        <v>0</v>
      </c>
      <c r="W90" s="303">
        <v>0.12</v>
      </c>
      <c r="X90" s="303">
        <v>0.13</v>
      </c>
      <c r="Y90" s="308">
        <v>0.14000000000000001</v>
      </c>
      <c r="Z90" s="203" t="s">
        <v>82</v>
      </c>
      <c r="AA90" s="309">
        <f>IF($G$91=0,0,IF(AA89&lt;=$C$91,$G$91,(AA89*$E$91)+$F$91))</f>
        <v>5</v>
      </c>
      <c r="AB90" s="310">
        <f t="shared" ref="AB90:AR90" si="128">IF($G$91=0,0,IF(AB89&lt;=$C$91,$G$91,(AB89*$E$91)+$F$91))</f>
        <v>5</v>
      </c>
      <c r="AC90" s="310">
        <f t="shared" si="128"/>
        <v>5</v>
      </c>
      <c r="AD90" s="310">
        <f t="shared" si="128"/>
        <v>5</v>
      </c>
      <c r="AE90" s="310">
        <f t="shared" si="128"/>
        <v>5</v>
      </c>
      <c r="AF90" s="310">
        <f t="shared" si="128"/>
        <v>5</v>
      </c>
      <c r="AG90" s="310">
        <f t="shared" si="128"/>
        <v>5</v>
      </c>
      <c r="AH90" s="310">
        <f t="shared" si="128"/>
        <v>5</v>
      </c>
      <c r="AI90" s="310">
        <f t="shared" si="128"/>
        <v>5</v>
      </c>
      <c r="AJ90" s="310">
        <f t="shared" si="128"/>
        <v>5</v>
      </c>
      <c r="AK90" s="310">
        <f t="shared" si="128"/>
        <v>5</v>
      </c>
      <c r="AL90" s="310">
        <f t="shared" si="128"/>
        <v>5</v>
      </c>
      <c r="AM90" s="310">
        <f t="shared" si="128"/>
        <v>5</v>
      </c>
      <c r="AN90" s="310">
        <f t="shared" si="128"/>
        <v>5</v>
      </c>
      <c r="AO90" s="310">
        <f t="shared" si="128"/>
        <v>5</v>
      </c>
      <c r="AP90" s="310">
        <f t="shared" si="128"/>
        <v>5</v>
      </c>
      <c r="AQ90" s="310">
        <f t="shared" si="128"/>
        <v>5</v>
      </c>
      <c r="AR90" s="311">
        <f t="shared" si="128"/>
        <v>5</v>
      </c>
      <c r="AS90" s="147"/>
      <c r="AT90" s="147"/>
      <c r="AU90" s="147"/>
      <c r="AV90" s="147"/>
    </row>
    <row r="91" spans="1:48" ht="17" thickBot="1" x14ac:dyDescent="0.25">
      <c r="A91" s="243" t="s">
        <v>84</v>
      </c>
      <c r="B91" s="312">
        <f>IF('Data Table'!B18=0,0,IF('Data Table'!C18="total £",'Data Input'!B6,IF('Data Input'!C6="£ per hectare",'Calculation Table'!B90*B88,0)))</f>
        <v>0</v>
      </c>
      <c r="C91" s="313">
        <f>IF(B91=0,0,IF(MIN($H91:$Y91,$B$91)=0,RANK(B91,($H91:$Y91,$B$91),1)-1,RANK(B91,($H91:$Y91,$B$91),1)))</f>
        <v>0</v>
      </c>
      <c r="D91" s="314"/>
      <c r="E91" s="315">
        <f>IF(E108=10,0,((-1*D108)/(E108*((COUNT(H91:Y91)-C91)/10))))</f>
        <v>-0.55555555555555558</v>
      </c>
      <c r="F91" s="315">
        <f>IF(B91=0,G91,G91-(E91*C91))</f>
        <v>5</v>
      </c>
      <c r="G91" s="209">
        <f>D108</f>
        <v>5</v>
      </c>
      <c r="H91" s="316">
        <f>_xlfn.CEILING.MATH((H90*$B$88),(H88*H90))</f>
        <v>0</v>
      </c>
      <c r="I91" s="312">
        <f>_xlfn.CEILING.MATH((I90*$B$88),(I88*I90))</f>
        <v>0</v>
      </c>
      <c r="J91" s="312">
        <f t="shared" ref="J91:Y91" si="129">_xlfn.CEILING.MATH((J90*$B$88),(J88*J90))</f>
        <v>0</v>
      </c>
      <c r="K91" s="312">
        <f t="shared" si="129"/>
        <v>0</v>
      </c>
      <c r="L91" s="312">
        <f t="shared" si="129"/>
        <v>0</v>
      </c>
      <c r="M91" s="312">
        <f t="shared" si="129"/>
        <v>0</v>
      </c>
      <c r="N91" s="312">
        <f t="shared" si="129"/>
        <v>0</v>
      </c>
      <c r="O91" s="312">
        <f t="shared" si="129"/>
        <v>0</v>
      </c>
      <c r="P91" s="312">
        <f t="shared" si="129"/>
        <v>0</v>
      </c>
      <c r="Q91" s="312">
        <f t="shared" si="129"/>
        <v>0</v>
      </c>
      <c r="R91" s="312">
        <f t="shared" si="129"/>
        <v>0</v>
      </c>
      <c r="S91" s="312">
        <f t="shared" si="129"/>
        <v>0</v>
      </c>
      <c r="T91" s="312">
        <f t="shared" si="129"/>
        <v>0</v>
      </c>
      <c r="U91" s="312">
        <f t="shared" si="129"/>
        <v>0</v>
      </c>
      <c r="V91" s="312">
        <f t="shared" si="129"/>
        <v>0</v>
      </c>
      <c r="W91" s="312">
        <f t="shared" si="129"/>
        <v>0</v>
      </c>
      <c r="X91" s="312">
        <f t="shared" si="129"/>
        <v>0</v>
      </c>
      <c r="Y91" s="317">
        <f t="shared" si="129"/>
        <v>0</v>
      </c>
      <c r="Z91" s="318"/>
      <c r="AA91" s="319">
        <f>IF(AA90&lt;=0,0,IF(AA90&gt;=$G$96,$G$96,AA90))</f>
        <v>5</v>
      </c>
      <c r="AB91" s="320">
        <f t="shared" ref="AB91:AR91" si="130">IF(AB90&lt;=0,0,IF(AB90&gt;=$G$96,$G$96,AB90))</f>
        <v>5</v>
      </c>
      <c r="AC91" s="320">
        <f t="shared" si="130"/>
        <v>5</v>
      </c>
      <c r="AD91" s="320">
        <f t="shared" si="130"/>
        <v>5</v>
      </c>
      <c r="AE91" s="320">
        <f t="shared" si="130"/>
        <v>5</v>
      </c>
      <c r="AF91" s="320">
        <f t="shared" si="130"/>
        <v>5</v>
      </c>
      <c r="AG91" s="320">
        <f t="shared" si="130"/>
        <v>5</v>
      </c>
      <c r="AH91" s="320">
        <f t="shared" si="130"/>
        <v>5</v>
      </c>
      <c r="AI91" s="320">
        <f t="shared" si="130"/>
        <v>5</v>
      </c>
      <c r="AJ91" s="320">
        <f t="shared" si="130"/>
        <v>5</v>
      </c>
      <c r="AK91" s="320">
        <f t="shared" si="130"/>
        <v>5</v>
      </c>
      <c r="AL91" s="320">
        <f t="shared" si="130"/>
        <v>5</v>
      </c>
      <c r="AM91" s="320">
        <f t="shared" si="130"/>
        <v>5</v>
      </c>
      <c r="AN91" s="320">
        <f t="shared" si="130"/>
        <v>5</v>
      </c>
      <c r="AO91" s="320">
        <f t="shared" si="130"/>
        <v>5</v>
      </c>
      <c r="AP91" s="320">
        <f t="shared" si="130"/>
        <v>5</v>
      </c>
      <c r="AQ91" s="320">
        <f t="shared" si="130"/>
        <v>5</v>
      </c>
      <c r="AR91" s="321">
        <f t="shared" si="130"/>
        <v>5</v>
      </c>
      <c r="AS91" s="147"/>
      <c r="AT91" s="147"/>
      <c r="AU91" s="147"/>
      <c r="AV91" s="147"/>
    </row>
    <row r="92" spans="1:48" ht="17" thickBot="1" x14ac:dyDescent="0.25">
      <c r="A92" s="247"/>
      <c r="B92" s="261"/>
      <c r="C92" s="249"/>
      <c r="D92" s="203"/>
      <c r="E92" s="203"/>
      <c r="F92" s="203"/>
      <c r="G92" s="220"/>
      <c r="H92" s="221"/>
      <c r="I92" s="203"/>
      <c r="J92" s="203"/>
      <c r="K92" s="203"/>
      <c r="L92" s="203"/>
      <c r="M92" s="203"/>
      <c r="N92" s="203"/>
      <c r="O92" s="203"/>
      <c r="P92" s="203"/>
      <c r="Q92" s="203"/>
      <c r="R92" s="203"/>
      <c r="S92" s="203"/>
      <c r="T92" s="203"/>
      <c r="U92" s="203"/>
      <c r="V92" s="203"/>
      <c r="W92" s="203"/>
      <c r="X92" s="203"/>
      <c r="Y92" s="222"/>
      <c r="Z92" s="203"/>
      <c r="AA92" s="221"/>
      <c r="AB92" s="203"/>
      <c r="AC92" s="203"/>
      <c r="AD92" s="203"/>
      <c r="AE92" s="203"/>
      <c r="AF92" s="203"/>
      <c r="AG92" s="203"/>
      <c r="AH92" s="203"/>
      <c r="AI92" s="203"/>
      <c r="AJ92" s="203"/>
      <c r="AK92" s="203"/>
      <c r="AL92" s="203"/>
      <c r="AM92" s="203"/>
      <c r="AN92" s="203"/>
      <c r="AO92" s="203"/>
      <c r="AP92" s="203"/>
      <c r="AQ92" s="203"/>
      <c r="AR92" s="248"/>
      <c r="AS92" s="147"/>
      <c r="AT92" s="147"/>
      <c r="AU92" s="147"/>
      <c r="AV92" s="147"/>
    </row>
    <row r="93" spans="1:48" ht="16" customHeight="1" x14ac:dyDescent="0.2">
      <c r="A93" s="322" t="s">
        <v>77</v>
      </c>
      <c r="B93" s="323">
        <f>IF('Data Table'!C22="hectares",'Data Table'!B22,IF('Data Table'!C22="km2",'Data Table'!B22*100,0))</f>
        <v>0</v>
      </c>
      <c r="C93" s="324" t="s">
        <v>81</v>
      </c>
      <c r="D93" s="325" t="s">
        <v>85</v>
      </c>
      <c r="E93" s="326"/>
      <c r="F93" s="327"/>
      <c r="G93" s="328"/>
      <c r="H93" s="329">
        <f>H94*100</f>
        <v>100</v>
      </c>
      <c r="I93" s="323">
        <v>100</v>
      </c>
      <c r="J93" s="323">
        <v>100</v>
      </c>
      <c r="K93" s="323">
        <v>100</v>
      </c>
      <c r="L93" s="323">
        <f t="shared" ref="L93:U93" si="131">L94*100</f>
        <v>5000</v>
      </c>
      <c r="M93" s="323">
        <v>5000</v>
      </c>
      <c r="N93" s="323">
        <f t="shared" si="131"/>
        <v>5000</v>
      </c>
      <c r="O93" s="323">
        <f t="shared" si="131"/>
        <v>20000</v>
      </c>
      <c r="P93" s="323">
        <f t="shared" si="131"/>
        <v>20000</v>
      </c>
      <c r="Q93" s="323">
        <f t="shared" si="131"/>
        <v>20000</v>
      </c>
      <c r="R93" s="323">
        <f t="shared" si="131"/>
        <v>20000</v>
      </c>
      <c r="S93" s="323">
        <f t="shared" si="131"/>
        <v>20000</v>
      </c>
      <c r="T93" s="323">
        <f t="shared" si="131"/>
        <v>20000</v>
      </c>
      <c r="U93" s="323">
        <f t="shared" si="131"/>
        <v>20000</v>
      </c>
      <c r="V93" s="323">
        <v>0</v>
      </c>
      <c r="W93" s="323">
        <f>W94*100</f>
        <v>50000</v>
      </c>
      <c r="X93" s="323">
        <f>X94*100</f>
        <v>50000</v>
      </c>
      <c r="Y93" s="330">
        <f>Y94*100</f>
        <v>50000</v>
      </c>
      <c r="Z93" s="331"/>
      <c r="AA93" s="329"/>
      <c r="AB93" s="323"/>
      <c r="AC93" s="323"/>
      <c r="AD93" s="323"/>
      <c r="AE93" s="323"/>
      <c r="AF93" s="323"/>
      <c r="AG93" s="323"/>
      <c r="AH93" s="323"/>
      <c r="AI93" s="323"/>
      <c r="AJ93" s="323"/>
      <c r="AK93" s="323"/>
      <c r="AL93" s="323"/>
      <c r="AM93" s="323"/>
      <c r="AN93" s="323"/>
      <c r="AO93" s="323"/>
      <c r="AP93" s="323"/>
      <c r="AQ93" s="323"/>
      <c r="AR93" s="332"/>
      <c r="AS93" s="147"/>
      <c r="AT93" s="147"/>
      <c r="AU93" s="147"/>
      <c r="AV93" s="147"/>
    </row>
    <row r="94" spans="1:48" ht="16" customHeight="1" x14ac:dyDescent="0.2">
      <c r="A94" s="293" t="s">
        <v>78</v>
      </c>
      <c r="B94" s="294">
        <f>IF('Data Table'!C22="km2",'Data Table'!B22,IF('Data Table'!C22="hectares",'Data Table'!B22/100,0))</f>
        <v>0</v>
      </c>
      <c r="C94" s="295"/>
      <c r="D94" s="296"/>
      <c r="E94" s="297"/>
      <c r="F94" s="298"/>
      <c r="G94" s="299"/>
      <c r="H94" s="300">
        <v>1</v>
      </c>
      <c r="I94" s="294">
        <v>1</v>
      </c>
      <c r="J94" s="294">
        <v>1</v>
      </c>
      <c r="K94" s="294">
        <v>1</v>
      </c>
      <c r="L94" s="294">
        <v>50</v>
      </c>
      <c r="M94" s="294">
        <v>50</v>
      </c>
      <c r="N94" s="294">
        <v>50</v>
      </c>
      <c r="O94" s="294">
        <v>200</v>
      </c>
      <c r="P94" s="294">
        <v>200</v>
      </c>
      <c r="Q94" s="294">
        <v>200</v>
      </c>
      <c r="R94" s="294">
        <v>200</v>
      </c>
      <c r="S94" s="294">
        <v>200</v>
      </c>
      <c r="T94" s="294">
        <v>200</v>
      </c>
      <c r="U94" s="294">
        <v>200</v>
      </c>
      <c r="V94" s="294">
        <v>0</v>
      </c>
      <c r="W94" s="294">
        <v>500</v>
      </c>
      <c r="X94" s="294">
        <v>500</v>
      </c>
      <c r="Y94" s="301">
        <v>500</v>
      </c>
      <c r="Z94" s="302" t="s">
        <v>81</v>
      </c>
      <c r="AA94" s="201">
        <f>IF(MIN($H96:$Y96,$B$96)=0,RANK(H96,($H96:$Y96,$B$96),1)-1,RANK(H96,($H96:$Y96,$B$96),1))</f>
        <v>0</v>
      </c>
      <c r="AB94" s="1">
        <f>IF(MIN($H96:$Y96,$B$96)=0,RANK(I96,($H96:$Y96,$B$96),1)-1,RANK(I96,($H96:$Y96,$B$96),1))</f>
        <v>0</v>
      </c>
      <c r="AC94" s="1">
        <f>IF(MIN($H96:$Y96,$B$96)=0,RANK(J96,($H96:$Y96,$B$96),1)-1,RANK(J96,($H96:$Y96,$B$96),1))</f>
        <v>0</v>
      </c>
      <c r="AD94" s="1">
        <f>IF(MIN($H96:$Y96,$B$96)=0,RANK(K96,($H96:$Y96,$B$96),1)-1,RANK(K96,($H96:$Y96,$B$96),1))</f>
        <v>0</v>
      </c>
      <c r="AE94" s="1">
        <f>IF(MIN($H96:$Y96,$B$96)=0,RANK(L96,($H96:$Y96,$B$96),1)-1,RANK(L96,($H96:$Y96,$B$96),1))</f>
        <v>0</v>
      </c>
      <c r="AF94" s="1">
        <f>IF(MIN($H96:$Y96,$B$96)=0,RANK(M96,($H96:$Y96,$B$96),1)-1,RANK(M96,($H96:$Y96,$B$96),1))</f>
        <v>0</v>
      </c>
      <c r="AG94" s="1">
        <f>IF(MIN($H96:$Y96,$B$96)=0,RANK(N96,($H96:$Y96,$B$96),1)-1,RANK(N96,($H96:$Y96,$B$96),1))</f>
        <v>0</v>
      </c>
      <c r="AH94" s="1">
        <f>IF(MIN($H96:$Y96,$B$96)=0,RANK(O96,($H96:$Y96,$B$96),1)-1,RANK(O96,($H96:$Y96,$B$96),1))</f>
        <v>12</v>
      </c>
      <c r="AI94" s="1">
        <f>IF(MIN($H96:$Y96,$B$96)=0,RANK(P96,($H96:$Y96,$B$96),1)-1,RANK(P96,($H96:$Y96,$B$96),1))</f>
        <v>12</v>
      </c>
      <c r="AJ94" s="1">
        <f>IF(MIN($H96:$Y96,$B$96)=0,RANK(Q96,($H96:$Y96,$B$96),1)-1,RANK(Q96,($H96:$Y96,$B$96),1))</f>
        <v>12</v>
      </c>
      <c r="AK94" s="1">
        <f>IF(MIN($H96:$Y96,$B$96)=0,RANK(R96,($H96:$Y96,$B$96),1)-1,RANK(R96,($H96:$Y96,$B$96),1))</f>
        <v>12</v>
      </c>
      <c r="AL94" s="1">
        <f>IF(MIN($H96:$Y96,$B$96)=0,RANK(S96,($H96:$Y96,$B$96),1)-1,RANK(S96,($H96:$Y96,$B$96),1))</f>
        <v>12</v>
      </c>
      <c r="AM94" s="1">
        <f>IF(MIN($H96:$Y96,$B$96)=0,RANK(T96,($H96:$Y96,$B$96),1)-1,RANK(T96,($H96:$Y96,$B$96),1))</f>
        <v>12</v>
      </c>
      <c r="AN94" s="1">
        <f>IF(MIN($H96:$Y96,$B$96)=0,RANK(U96,($H96:$Y96,$B$96),1)-1,RANK(U96,($H96:$Y96,$B$96),1))</f>
        <v>12</v>
      </c>
      <c r="AO94" s="1">
        <f>IF(MIN($H96:$Y96,$B$96)=0,RANK(V96,($H96:$Y96,$B$96),1)-1,RANK(V96,($H96:$Y96,$B$96),1))</f>
        <v>0</v>
      </c>
      <c r="AP94" s="1">
        <f>IF(MIN($H96:$Y96,$B$96)=0,RANK(W96,($H96:$Y96,$B$96),1)-1,RANK(W96,($H96:$Y96,$B$96),1))</f>
        <v>0</v>
      </c>
      <c r="AQ94" s="1">
        <f>IF(MIN($H96:$Y96,$B$96)=0,RANK(X96,($H96:$Y96,$B$96),1)-1,RANK(X96,($H96:$Y96,$B$96),1))</f>
        <v>0</v>
      </c>
      <c r="AR94" s="242">
        <f>IF(MIN($H96:$Y96,$B$96)=0,RANK(Y96,($H96:$Y96,$B$96),1)-1,RANK(Y96,($H96:$Y96,$B$96),1))</f>
        <v>0</v>
      </c>
      <c r="AS94" s="147"/>
      <c r="AT94" s="147"/>
      <c r="AU94" s="147"/>
      <c r="AV94" s="147"/>
    </row>
    <row r="95" spans="1:48" ht="17" thickBot="1" x14ac:dyDescent="0.25">
      <c r="A95" s="241" t="s">
        <v>83</v>
      </c>
      <c r="B95" s="303">
        <f>IF('Data Table'!B18=0,0,IF('Data Table'!C18="£ per hectare",'Data Table'!B18,'Data Table'!B18/B93))</f>
        <v>0</v>
      </c>
      <c r="C95" s="304"/>
      <c r="D95" s="305"/>
      <c r="E95" s="306" t="s">
        <v>79</v>
      </c>
      <c r="F95" s="306" t="s">
        <v>80</v>
      </c>
      <c r="G95" s="200"/>
      <c r="H95" s="307">
        <f>500/H93</f>
        <v>5</v>
      </c>
      <c r="I95" s="303">
        <f>1500/I93</f>
        <v>15</v>
      </c>
      <c r="J95" s="303">
        <f>1750/J93</f>
        <v>17.5</v>
      </c>
      <c r="K95" s="303">
        <f>2000/K93</f>
        <v>20</v>
      </c>
      <c r="L95" s="303">
        <f>3000/L93</f>
        <v>0.6</v>
      </c>
      <c r="M95" s="303">
        <f>3500/M93</f>
        <v>0.7</v>
      </c>
      <c r="N95" s="303">
        <f>4000/N93</f>
        <v>0.8</v>
      </c>
      <c r="O95" s="303">
        <f t="shared" ref="O95:U95" si="132">50000/O93</f>
        <v>2.5</v>
      </c>
      <c r="P95" s="303">
        <f t="shared" si="132"/>
        <v>2.5</v>
      </c>
      <c r="Q95" s="303">
        <f t="shared" si="132"/>
        <v>2.5</v>
      </c>
      <c r="R95" s="303">
        <f t="shared" si="132"/>
        <v>2.5</v>
      </c>
      <c r="S95" s="303">
        <f t="shared" si="132"/>
        <v>2.5</v>
      </c>
      <c r="T95" s="303">
        <f t="shared" si="132"/>
        <v>2.5</v>
      </c>
      <c r="U95" s="303">
        <f t="shared" si="132"/>
        <v>2.5</v>
      </c>
      <c r="V95" s="303">
        <v>0</v>
      </c>
      <c r="W95" s="303">
        <v>0.12</v>
      </c>
      <c r="X95" s="303">
        <v>0.13</v>
      </c>
      <c r="Y95" s="308">
        <v>0.14000000000000001</v>
      </c>
      <c r="Z95" s="203" t="s">
        <v>82</v>
      </c>
      <c r="AA95" s="309">
        <f>IF($G$96=0,0,IF(AA94&lt;=$C$96,$G$96,(AA94*$E$96)+$F$96))</f>
        <v>5</v>
      </c>
      <c r="AB95" s="310">
        <f t="shared" ref="AB95:AR95" si="133">IF($G$96=0,0,IF(AB94&lt;=$C$96,$G$96,(AB94*$E$96)+$F$96))</f>
        <v>5</v>
      </c>
      <c r="AC95" s="310">
        <f t="shared" si="133"/>
        <v>5</v>
      </c>
      <c r="AD95" s="310">
        <f t="shared" si="133"/>
        <v>5</v>
      </c>
      <c r="AE95" s="310">
        <f t="shared" si="133"/>
        <v>5</v>
      </c>
      <c r="AF95" s="310">
        <f t="shared" si="133"/>
        <v>5</v>
      </c>
      <c r="AG95" s="310">
        <f t="shared" si="133"/>
        <v>5</v>
      </c>
      <c r="AH95" s="310">
        <f t="shared" si="133"/>
        <v>-1.666666666666667</v>
      </c>
      <c r="AI95" s="310">
        <f t="shared" si="133"/>
        <v>-1.666666666666667</v>
      </c>
      <c r="AJ95" s="310">
        <f t="shared" si="133"/>
        <v>-1.666666666666667</v>
      </c>
      <c r="AK95" s="310">
        <f t="shared" si="133"/>
        <v>-1.666666666666667</v>
      </c>
      <c r="AL95" s="310">
        <f t="shared" si="133"/>
        <v>-1.666666666666667</v>
      </c>
      <c r="AM95" s="310">
        <f t="shared" si="133"/>
        <v>-1.666666666666667</v>
      </c>
      <c r="AN95" s="310">
        <f t="shared" si="133"/>
        <v>-1.666666666666667</v>
      </c>
      <c r="AO95" s="310">
        <f t="shared" si="133"/>
        <v>5</v>
      </c>
      <c r="AP95" s="310">
        <f t="shared" si="133"/>
        <v>5</v>
      </c>
      <c r="AQ95" s="310">
        <f t="shared" si="133"/>
        <v>5</v>
      </c>
      <c r="AR95" s="311">
        <f t="shared" si="133"/>
        <v>5</v>
      </c>
      <c r="AS95" s="147"/>
      <c r="AT95" s="147"/>
      <c r="AU95" s="147"/>
      <c r="AV95" s="147"/>
    </row>
    <row r="96" spans="1:48" ht="17" thickBot="1" x14ac:dyDescent="0.25">
      <c r="A96" s="243" t="s">
        <v>84</v>
      </c>
      <c r="B96" s="312">
        <f>IF('Data Table'!B18=0,0,IF('Data Table'!C18="total £",'Data Input'!B6,IF('Data Input'!C6="£ per hectare",'Calculation Table'!B95*B93,0)))</f>
        <v>0</v>
      </c>
      <c r="C96" s="313">
        <f>IF(B96=0,0,IF(MIN($H96:$Y96,$B$96)=0,RANK(B96,($H96:$Y96,$B$96),1)-1,RANK(B96,($H96:$Y96,$B$96),1)))</f>
        <v>0</v>
      </c>
      <c r="D96" s="314"/>
      <c r="E96" s="315">
        <f>IF(E108=10,0,((-1*D108)/(E108*((COUNT(H96:Y96)-C96)/10))))</f>
        <v>-0.55555555555555558</v>
      </c>
      <c r="F96" s="315">
        <f>IF(B96=0,G96,G96-(E96*C96))</f>
        <v>5</v>
      </c>
      <c r="G96" s="209">
        <f>D108</f>
        <v>5</v>
      </c>
      <c r="H96" s="316">
        <f t="shared" ref="H96:M96" si="134">_xlfn.CEILING.MATH((H95*$B$93),(H93*H95))</f>
        <v>0</v>
      </c>
      <c r="I96" s="312">
        <f t="shared" si="134"/>
        <v>0</v>
      </c>
      <c r="J96" s="312">
        <f t="shared" si="134"/>
        <v>0</v>
      </c>
      <c r="K96" s="312">
        <f t="shared" si="134"/>
        <v>0</v>
      </c>
      <c r="L96" s="312">
        <f t="shared" si="134"/>
        <v>0</v>
      </c>
      <c r="M96" s="312">
        <f t="shared" si="134"/>
        <v>0</v>
      </c>
      <c r="N96" s="312">
        <f>_xlfn.CEILING.MATH((N95*$B$93),(N95*N93))</f>
        <v>0</v>
      </c>
      <c r="O96" s="312">
        <f t="shared" ref="O96:U96" si="135">IF((O95*$B$93)&lt;150000,150000,_xlfn.CEILING.MATH((O95*$B$93),(O95*O93)))</f>
        <v>150000</v>
      </c>
      <c r="P96" s="312">
        <f t="shared" si="135"/>
        <v>150000</v>
      </c>
      <c r="Q96" s="312">
        <f t="shared" si="135"/>
        <v>150000</v>
      </c>
      <c r="R96" s="312">
        <f t="shared" si="135"/>
        <v>150000</v>
      </c>
      <c r="S96" s="312">
        <f t="shared" si="135"/>
        <v>150000</v>
      </c>
      <c r="T96" s="312">
        <f t="shared" si="135"/>
        <v>150000</v>
      </c>
      <c r="U96" s="312">
        <f t="shared" si="135"/>
        <v>150000</v>
      </c>
      <c r="V96" s="312">
        <f>V95*$B$93</f>
        <v>0</v>
      </c>
      <c r="W96" s="312">
        <f>_xlfn.CEILING.MATH((W95*$B$93),(W95*W93))</f>
        <v>0</v>
      </c>
      <c r="X96" s="312">
        <f>_xlfn.CEILING.MATH((X95*$B$93),(X95*X93))</f>
        <v>0</v>
      </c>
      <c r="Y96" s="317">
        <f>_xlfn.CEILING.MATH((Y95*$B$93),(Y95*Y93))</f>
        <v>0</v>
      </c>
      <c r="Z96" s="318"/>
      <c r="AA96" s="319">
        <f>IF(AA95&lt;=0,0,IF(AA95&gt;=$G$96,$G$96,AA95))</f>
        <v>5</v>
      </c>
      <c r="AB96" s="320">
        <f t="shared" ref="AB96:AR96" si="136">IF(AB95&lt;=0,0,IF(AB95&gt;=$G$96,$G$96,AB95))</f>
        <v>5</v>
      </c>
      <c r="AC96" s="320">
        <f t="shared" ref="AC96" si="137">IF(AC95&lt;=0,0,IF(AC95&gt;=$G$96,$G$96,AC95))</f>
        <v>5</v>
      </c>
      <c r="AD96" s="320">
        <f t="shared" si="136"/>
        <v>5</v>
      </c>
      <c r="AE96" s="320">
        <f t="shared" si="136"/>
        <v>5</v>
      </c>
      <c r="AF96" s="320">
        <f t="shared" ref="AF96" si="138">IF(AF95&lt;=0,0,IF(AF95&gt;=$G$96,$G$96,AF95))</f>
        <v>5</v>
      </c>
      <c r="AG96" s="320">
        <f t="shared" si="136"/>
        <v>5</v>
      </c>
      <c r="AH96" s="320">
        <f t="shared" si="136"/>
        <v>0</v>
      </c>
      <c r="AI96" s="320">
        <f t="shared" ref="AI96" si="139">IF(AI95&lt;=0,0,IF(AI95&gt;=$G$96,$G$96,AI95))</f>
        <v>0</v>
      </c>
      <c r="AJ96" s="320">
        <f t="shared" si="136"/>
        <v>0</v>
      </c>
      <c r="AK96" s="320">
        <f t="shared" si="136"/>
        <v>0</v>
      </c>
      <c r="AL96" s="320">
        <f t="shared" ref="AL96" si="140">IF(AL95&lt;=0,0,IF(AL95&gt;=$G$96,$G$96,AL95))</f>
        <v>0</v>
      </c>
      <c r="AM96" s="320">
        <f t="shared" si="136"/>
        <v>0</v>
      </c>
      <c r="AN96" s="320">
        <f t="shared" si="136"/>
        <v>0</v>
      </c>
      <c r="AO96" s="320">
        <f t="shared" si="136"/>
        <v>5</v>
      </c>
      <c r="AP96" s="320">
        <f t="shared" si="136"/>
        <v>5</v>
      </c>
      <c r="AQ96" s="320">
        <f t="shared" ref="AQ96" si="141">IF(AQ95&lt;=0,0,IF(AQ95&gt;=$G$96,$G$96,AQ95))</f>
        <v>5</v>
      </c>
      <c r="AR96" s="321">
        <f t="shared" si="136"/>
        <v>5</v>
      </c>
      <c r="AS96" s="147"/>
      <c r="AT96" s="147"/>
      <c r="AU96" s="147"/>
      <c r="AV96" s="147"/>
    </row>
    <row r="97" spans="1:48" ht="17" thickBot="1" x14ac:dyDescent="0.25">
      <c r="A97" s="247"/>
      <c r="B97" s="181"/>
      <c r="C97" s="249"/>
      <c r="D97" s="203"/>
      <c r="E97" s="203"/>
      <c r="F97" s="203"/>
      <c r="G97" s="220"/>
      <c r="H97" s="221"/>
      <c r="I97" s="203"/>
      <c r="J97" s="203"/>
      <c r="K97" s="203"/>
      <c r="L97" s="203"/>
      <c r="M97" s="203"/>
      <c r="N97" s="203"/>
      <c r="O97" s="203"/>
      <c r="P97" s="203"/>
      <c r="Q97" s="203"/>
      <c r="R97" s="203"/>
      <c r="S97" s="203"/>
      <c r="T97" s="203"/>
      <c r="U97" s="203"/>
      <c r="V97" s="203"/>
      <c r="W97" s="203"/>
      <c r="X97" s="203"/>
      <c r="Y97" s="222"/>
      <c r="Z97" s="203"/>
      <c r="AA97" s="221"/>
      <c r="AB97" s="203"/>
      <c r="AC97" s="203"/>
      <c r="AD97" s="203"/>
      <c r="AE97" s="203"/>
      <c r="AF97" s="203"/>
      <c r="AG97" s="203"/>
      <c r="AH97" s="203"/>
      <c r="AI97" s="203"/>
      <c r="AJ97" s="203"/>
      <c r="AK97" s="203"/>
      <c r="AL97" s="203"/>
      <c r="AM97" s="203"/>
      <c r="AN97" s="203"/>
      <c r="AO97" s="203"/>
      <c r="AP97" s="203"/>
      <c r="AQ97" s="203"/>
      <c r="AR97" s="248"/>
      <c r="AS97" s="147"/>
      <c r="AT97" s="147"/>
      <c r="AU97" s="147"/>
      <c r="AV97" s="147"/>
    </row>
    <row r="98" spans="1:48" s="215" customFormat="1" ht="17" thickBot="1" x14ac:dyDescent="0.25">
      <c r="A98" s="250" t="s">
        <v>82</v>
      </c>
      <c r="B98" s="251"/>
      <c r="C98" s="252"/>
      <c r="D98" s="253"/>
      <c r="E98" s="254"/>
      <c r="F98" s="253"/>
      <c r="G98" s="255"/>
      <c r="H98" s="333">
        <f>IF(H67="AOI",H91,H96)</f>
        <v>0</v>
      </c>
      <c r="I98" s="334">
        <f t="shared" ref="I98:Y98" si="142">IF(I67="AOI",I91,I96)</f>
        <v>0</v>
      </c>
      <c r="J98" s="334">
        <f t="shared" si="142"/>
        <v>0</v>
      </c>
      <c r="K98" s="334">
        <f t="shared" si="142"/>
        <v>0</v>
      </c>
      <c r="L98" s="334">
        <f t="shared" si="142"/>
        <v>0</v>
      </c>
      <c r="M98" s="334">
        <f t="shared" si="142"/>
        <v>0</v>
      </c>
      <c r="N98" s="334">
        <f t="shared" si="142"/>
        <v>0</v>
      </c>
      <c r="O98" s="334">
        <f t="shared" si="142"/>
        <v>150000</v>
      </c>
      <c r="P98" s="334">
        <f t="shared" si="142"/>
        <v>150000</v>
      </c>
      <c r="Q98" s="334">
        <f t="shared" si="142"/>
        <v>150000</v>
      </c>
      <c r="R98" s="334">
        <f t="shared" si="142"/>
        <v>150000</v>
      </c>
      <c r="S98" s="334">
        <f t="shared" si="142"/>
        <v>150000</v>
      </c>
      <c r="T98" s="334">
        <f t="shared" si="142"/>
        <v>150000</v>
      </c>
      <c r="U98" s="334">
        <f t="shared" si="142"/>
        <v>150000</v>
      </c>
      <c r="V98" s="334">
        <f t="shared" si="142"/>
        <v>0</v>
      </c>
      <c r="W98" s="334">
        <f t="shared" si="142"/>
        <v>0</v>
      </c>
      <c r="X98" s="334">
        <f t="shared" si="142"/>
        <v>0</v>
      </c>
      <c r="Y98" s="335">
        <f t="shared" si="142"/>
        <v>0</v>
      </c>
      <c r="Z98" s="259"/>
      <c r="AA98" s="336">
        <f t="shared" ref="AA98:AR98" si="143">IF(H67="AOI",AA91,AA96)</f>
        <v>5</v>
      </c>
      <c r="AB98" s="337">
        <f t="shared" si="143"/>
        <v>5</v>
      </c>
      <c r="AC98" s="337">
        <f t="shared" si="143"/>
        <v>5</v>
      </c>
      <c r="AD98" s="337">
        <f t="shared" si="143"/>
        <v>5</v>
      </c>
      <c r="AE98" s="337">
        <f t="shared" si="143"/>
        <v>5</v>
      </c>
      <c r="AF98" s="337">
        <f t="shared" si="143"/>
        <v>5</v>
      </c>
      <c r="AG98" s="337">
        <f t="shared" si="143"/>
        <v>5</v>
      </c>
      <c r="AH98" s="337">
        <f t="shared" si="143"/>
        <v>0</v>
      </c>
      <c r="AI98" s="337">
        <f t="shared" si="143"/>
        <v>0</v>
      </c>
      <c r="AJ98" s="337">
        <f t="shared" si="143"/>
        <v>0</v>
      </c>
      <c r="AK98" s="337">
        <f t="shared" si="143"/>
        <v>0</v>
      </c>
      <c r="AL98" s="337">
        <f t="shared" si="143"/>
        <v>0</v>
      </c>
      <c r="AM98" s="337">
        <f t="shared" si="143"/>
        <v>0</v>
      </c>
      <c r="AN98" s="337">
        <f t="shared" si="143"/>
        <v>0</v>
      </c>
      <c r="AO98" s="337">
        <f t="shared" si="143"/>
        <v>5</v>
      </c>
      <c r="AP98" s="337">
        <f t="shared" si="143"/>
        <v>5</v>
      </c>
      <c r="AQ98" s="337">
        <f t="shared" si="143"/>
        <v>5</v>
      </c>
      <c r="AR98" s="338">
        <f t="shared" si="143"/>
        <v>5</v>
      </c>
      <c r="AS98" s="214"/>
      <c r="AT98" s="214"/>
      <c r="AU98" s="214"/>
      <c r="AV98" s="214"/>
    </row>
    <row r="99" spans="1:48" ht="17" thickBot="1" x14ac:dyDescent="0.25">
      <c r="A99" s="216"/>
      <c r="B99" s="261"/>
      <c r="C99" s="261"/>
      <c r="D99" s="203"/>
      <c r="E99" s="203"/>
      <c r="F99" s="203"/>
      <c r="G99" s="203"/>
      <c r="H99" s="203"/>
      <c r="I99" s="203"/>
      <c r="J99" s="203"/>
      <c r="K99" s="203"/>
      <c r="L99" s="203"/>
      <c r="M99" s="203"/>
      <c r="N99" s="203"/>
      <c r="O99" s="203"/>
      <c r="P99" s="203"/>
      <c r="Q99" s="203"/>
      <c r="R99" s="203"/>
      <c r="S99" s="203"/>
      <c r="T99" s="203"/>
      <c r="U99" s="203"/>
      <c r="V99" s="203"/>
      <c r="W99" s="203"/>
      <c r="X99" s="203"/>
      <c r="Y99" s="222"/>
      <c r="Z99" s="203"/>
      <c r="AA99" s="221"/>
      <c r="AB99" s="203"/>
      <c r="AC99" s="203"/>
      <c r="AD99" s="203"/>
      <c r="AE99" s="203"/>
      <c r="AF99" s="203"/>
      <c r="AG99" s="203"/>
      <c r="AH99" s="203"/>
      <c r="AI99" s="203"/>
      <c r="AJ99" s="203"/>
      <c r="AK99" s="203"/>
      <c r="AL99" s="203"/>
      <c r="AM99" s="203"/>
      <c r="AN99" s="203"/>
      <c r="AO99" s="203"/>
      <c r="AP99" s="203"/>
      <c r="AQ99" s="203"/>
      <c r="AR99" s="222"/>
      <c r="AS99" s="147"/>
      <c r="AT99" s="147"/>
      <c r="AU99" s="147"/>
      <c r="AV99" s="147"/>
    </row>
    <row r="100" spans="1:48" s="215" customFormat="1" ht="17" thickBot="1" x14ac:dyDescent="0.25">
      <c r="A100" s="339" t="s">
        <v>102</v>
      </c>
      <c r="B100" s="340"/>
      <c r="C100" s="340"/>
      <c r="D100" s="340"/>
      <c r="E100" s="340"/>
      <c r="F100" s="340"/>
      <c r="G100" s="340"/>
      <c r="H100" s="340"/>
      <c r="I100" s="340"/>
      <c r="J100" s="340"/>
      <c r="K100" s="340"/>
      <c r="L100" s="340"/>
      <c r="M100" s="340"/>
      <c r="N100" s="340"/>
      <c r="O100" s="340"/>
      <c r="P100" s="340"/>
      <c r="Q100" s="340"/>
      <c r="R100" s="340"/>
      <c r="S100" s="340"/>
      <c r="T100" s="340"/>
      <c r="U100" s="340"/>
      <c r="V100" s="340"/>
      <c r="W100" s="340"/>
      <c r="X100" s="340"/>
      <c r="Y100" s="341"/>
      <c r="Z100" s="213"/>
      <c r="AA100" s="342" t="e">
        <f>IF(OR(AND($E$110=10,AA24=0),AND($E$111=10,AA33=0),AND($E$112=10,AA45=0),AND($E$113=10,AA52=0),AND($E$114=10,AA67=0),AND($E$116=10,AA72=0),AND($E$117=10,AA74=0),AND($E$118=10,AA75=0),AND($E$108=10,AA98=0)),0,1)</f>
        <v>#N/A</v>
      </c>
      <c r="AB100" s="343" t="e">
        <f t="shared" ref="AB100:AR100" si="144">IF(OR(AND($E$110=10,AB24=0),AND($E$111=10,AB33=0),AND($E$112=10,AB45=0),AND($E$113=10,AB52=0),AND($E$114=10,AB67=0),AND($E$116=10,AB72=0),AND($E$117=10,AB74=0),AND($E$118=10,AB75=0),AND($E$108=10,AB98=0)),0,1)</f>
        <v>#N/A</v>
      </c>
      <c r="AC100" s="343" t="e">
        <f t="shared" si="144"/>
        <v>#N/A</v>
      </c>
      <c r="AD100" s="343" t="e">
        <f t="shared" si="144"/>
        <v>#N/A</v>
      </c>
      <c r="AE100" s="343" t="e">
        <f t="shared" si="144"/>
        <v>#N/A</v>
      </c>
      <c r="AF100" s="343" t="e">
        <f t="shared" si="144"/>
        <v>#N/A</v>
      </c>
      <c r="AG100" s="343" t="e">
        <f t="shared" si="144"/>
        <v>#N/A</v>
      </c>
      <c r="AH100" s="343" t="e">
        <f t="shared" si="144"/>
        <v>#N/A</v>
      </c>
      <c r="AI100" s="343" t="e">
        <f t="shared" si="144"/>
        <v>#N/A</v>
      </c>
      <c r="AJ100" s="343" t="e">
        <f t="shared" si="144"/>
        <v>#N/A</v>
      </c>
      <c r="AK100" s="343" t="e">
        <f t="shared" si="144"/>
        <v>#N/A</v>
      </c>
      <c r="AL100" s="343" t="e">
        <f t="shared" si="144"/>
        <v>#N/A</v>
      </c>
      <c r="AM100" s="343" t="e">
        <f t="shared" si="144"/>
        <v>#N/A</v>
      </c>
      <c r="AN100" s="343" t="e">
        <f t="shared" si="144"/>
        <v>#N/A</v>
      </c>
      <c r="AO100" s="343" t="e">
        <f t="shared" si="144"/>
        <v>#N/A</v>
      </c>
      <c r="AP100" s="343" t="e">
        <f t="shared" si="144"/>
        <v>#N/A</v>
      </c>
      <c r="AQ100" s="343" t="e">
        <f t="shared" si="144"/>
        <v>#N/A</v>
      </c>
      <c r="AR100" s="344" t="e">
        <f t="shared" si="144"/>
        <v>#N/A</v>
      </c>
      <c r="AS100" s="214"/>
    </row>
    <row r="101" spans="1:48" ht="17" thickBot="1" x14ac:dyDescent="0.25">
      <c r="A101" s="216"/>
      <c r="B101" s="261"/>
      <c r="C101" s="249"/>
      <c r="D101" s="203"/>
      <c r="E101" s="203"/>
      <c r="F101" s="203"/>
      <c r="G101" s="220"/>
      <c r="H101" s="221"/>
      <c r="I101" s="203"/>
      <c r="J101" s="203"/>
      <c r="K101" s="203"/>
      <c r="L101" s="203"/>
      <c r="M101" s="203"/>
      <c r="N101" s="203"/>
      <c r="O101" s="203"/>
      <c r="P101" s="203"/>
      <c r="Q101" s="203"/>
      <c r="R101" s="203"/>
      <c r="S101" s="203"/>
      <c r="T101" s="203"/>
      <c r="U101" s="203"/>
      <c r="V101" s="203"/>
      <c r="W101" s="203"/>
      <c r="X101" s="203"/>
      <c r="Y101" s="222"/>
      <c r="Z101" s="203"/>
      <c r="AA101" s="221"/>
      <c r="AB101" s="203"/>
      <c r="AC101" s="203"/>
      <c r="AD101" s="203"/>
      <c r="AE101" s="203"/>
      <c r="AF101" s="203"/>
      <c r="AG101" s="203"/>
      <c r="AH101" s="203"/>
      <c r="AI101" s="203"/>
      <c r="AJ101" s="203"/>
      <c r="AK101" s="203"/>
      <c r="AL101" s="203"/>
      <c r="AM101" s="203"/>
      <c r="AN101" s="203"/>
      <c r="AO101" s="203"/>
      <c r="AP101" s="203"/>
      <c r="AQ101" s="203"/>
      <c r="AR101" s="222"/>
      <c r="AS101" s="147"/>
      <c r="AT101" s="147"/>
      <c r="AU101" s="147"/>
      <c r="AV101" s="147"/>
    </row>
    <row r="102" spans="1:48" s="215" customFormat="1" ht="17" thickBot="1" x14ac:dyDescent="0.25">
      <c r="A102" s="339" t="s">
        <v>65</v>
      </c>
      <c r="B102" s="340"/>
      <c r="C102" s="341"/>
      <c r="D102" s="211"/>
      <c r="E102" s="211"/>
      <c r="F102" s="211" t="s">
        <v>90</v>
      </c>
      <c r="G102" s="209" t="e">
        <f>SUM(G96,G12,G24,G33,G45,G52,G65,G72,G74,G75,G81,G86)</f>
        <v>#N/A</v>
      </c>
      <c r="H102" s="345" t="e">
        <f t="shared" ref="H102:X102" si="145">AA102/$G$102</f>
        <v>#N/A</v>
      </c>
      <c r="I102" s="346" t="e">
        <f t="shared" si="145"/>
        <v>#N/A</v>
      </c>
      <c r="J102" s="346" t="e">
        <f t="shared" si="145"/>
        <v>#N/A</v>
      </c>
      <c r="K102" s="346" t="e">
        <f t="shared" si="145"/>
        <v>#N/A</v>
      </c>
      <c r="L102" s="346" t="e">
        <f t="shared" si="145"/>
        <v>#N/A</v>
      </c>
      <c r="M102" s="346" t="e">
        <f t="shared" si="145"/>
        <v>#N/A</v>
      </c>
      <c r="N102" s="346" t="e">
        <f t="shared" si="145"/>
        <v>#N/A</v>
      </c>
      <c r="O102" s="346" t="e">
        <f t="shared" si="145"/>
        <v>#N/A</v>
      </c>
      <c r="P102" s="346" t="e">
        <f t="shared" si="145"/>
        <v>#N/A</v>
      </c>
      <c r="Q102" s="346" t="e">
        <f t="shared" si="145"/>
        <v>#N/A</v>
      </c>
      <c r="R102" s="346" t="e">
        <f t="shared" si="145"/>
        <v>#N/A</v>
      </c>
      <c r="S102" s="346" t="e">
        <f t="shared" si="145"/>
        <v>#N/A</v>
      </c>
      <c r="T102" s="346" t="e">
        <f t="shared" si="145"/>
        <v>#N/A</v>
      </c>
      <c r="U102" s="346" t="e">
        <f t="shared" si="145"/>
        <v>#N/A</v>
      </c>
      <c r="V102" s="346" t="e">
        <f t="shared" si="145"/>
        <v>#N/A</v>
      </c>
      <c r="W102" s="346" t="e">
        <f t="shared" si="145"/>
        <v>#N/A</v>
      </c>
      <c r="X102" s="346" t="e">
        <f t="shared" si="145"/>
        <v>#N/A</v>
      </c>
      <c r="Y102" s="347" t="e">
        <f t="shared" ref="Y102" si="146">AR102/$G$102</f>
        <v>#N/A</v>
      </c>
      <c r="Z102" s="213"/>
      <c r="AA102" s="348" t="e">
        <f>IF(AA100=1,SUM(AA98,AA12,AA24,AA33,AA45,AA52,AA67,AA72,AA74,AA75,AA81,AA86),0)</f>
        <v>#N/A</v>
      </c>
      <c r="AB102" s="349" t="e">
        <f t="shared" ref="AB102:AR102" si="147">IF(AB100=1,SUM(AB98,AB12,AB24,AB33,AB45,AB52,AB67,AB72,AB74,AB75,AB81,AB86),0)</f>
        <v>#N/A</v>
      </c>
      <c r="AC102" s="349" t="e">
        <f t="shared" si="147"/>
        <v>#N/A</v>
      </c>
      <c r="AD102" s="349" t="e">
        <f t="shared" si="147"/>
        <v>#N/A</v>
      </c>
      <c r="AE102" s="349" t="e">
        <f t="shared" si="147"/>
        <v>#N/A</v>
      </c>
      <c r="AF102" s="349" t="e">
        <f t="shared" si="147"/>
        <v>#N/A</v>
      </c>
      <c r="AG102" s="349" t="e">
        <f t="shared" si="147"/>
        <v>#N/A</v>
      </c>
      <c r="AH102" s="349" t="e">
        <f t="shared" si="147"/>
        <v>#N/A</v>
      </c>
      <c r="AI102" s="349" t="e">
        <f t="shared" si="147"/>
        <v>#N/A</v>
      </c>
      <c r="AJ102" s="349" t="e">
        <f t="shared" si="147"/>
        <v>#N/A</v>
      </c>
      <c r="AK102" s="349" t="e">
        <f t="shared" si="147"/>
        <v>#N/A</v>
      </c>
      <c r="AL102" s="349" t="e">
        <f t="shared" si="147"/>
        <v>#N/A</v>
      </c>
      <c r="AM102" s="349" t="e">
        <f t="shared" si="147"/>
        <v>#N/A</v>
      </c>
      <c r="AN102" s="349" t="e">
        <f t="shared" si="147"/>
        <v>#N/A</v>
      </c>
      <c r="AO102" s="349" t="e">
        <f t="shared" si="147"/>
        <v>#N/A</v>
      </c>
      <c r="AP102" s="349" t="e">
        <f t="shared" si="147"/>
        <v>#N/A</v>
      </c>
      <c r="AQ102" s="349" t="e">
        <f t="shared" si="147"/>
        <v>#N/A</v>
      </c>
      <c r="AR102" s="350" t="e">
        <f t="shared" si="147"/>
        <v>#N/A</v>
      </c>
      <c r="AS102" s="214"/>
    </row>
    <row r="104" spans="1:48" x14ac:dyDescent="0.2">
      <c r="J104" s="351"/>
      <c r="M104" s="351"/>
    </row>
    <row r="105" spans="1:48" x14ac:dyDescent="0.2">
      <c r="G105" s="147"/>
      <c r="H105" s="147"/>
      <c r="I105" s="147"/>
      <c r="J105" s="352"/>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row>
    <row r="106" spans="1:48" ht="17" thickBot="1" x14ac:dyDescent="0.25">
      <c r="J106" s="351"/>
    </row>
    <row r="107" spans="1:48" ht="17" thickBot="1" x14ac:dyDescent="0.25">
      <c r="A107" s="353" t="s">
        <v>9</v>
      </c>
      <c r="B107" s="354" t="s">
        <v>68</v>
      </c>
      <c r="C107" s="354" t="s">
        <v>69</v>
      </c>
      <c r="D107" s="354" t="s">
        <v>73</v>
      </c>
      <c r="E107" s="355" t="s">
        <v>87</v>
      </c>
    </row>
    <row r="108" spans="1:48" x14ac:dyDescent="0.2">
      <c r="A108" s="356" t="s">
        <v>1</v>
      </c>
      <c r="B108" s="357"/>
      <c r="C108" s="357"/>
      <c r="D108" s="358">
        <f>'Data Table'!B19</f>
        <v>5</v>
      </c>
      <c r="E108" s="359">
        <f>'Data Table'!B20*10</f>
        <v>5</v>
      </c>
      <c r="AS108" s="147"/>
      <c r="AT108" s="147"/>
      <c r="AU108" s="147"/>
      <c r="AV108" s="147"/>
    </row>
    <row r="109" spans="1:48" x14ac:dyDescent="0.2">
      <c r="A109" s="360" t="s">
        <v>2</v>
      </c>
      <c r="B109" s="361" t="str">
        <f>'Data Table'!B3</f>
        <v>Past season</v>
      </c>
      <c r="C109" s="143">
        <f>VLOOKUP('Data Table'!B3,'Calculation Table'!B3:C11,2, FALSE)</f>
        <v>5</v>
      </c>
      <c r="D109" s="143">
        <f>'Data Table'!C3</f>
        <v>5</v>
      </c>
      <c r="E109" s="362">
        <f>10-('Data Table'!D3*10)</f>
        <v>5</v>
      </c>
      <c r="AS109" s="147"/>
      <c r="AT109" s="147"/>
      <c r="AU109" s="147"/>
      <c r="AV109" s="147"/>
    </row>
    <row r="110" spans="1:48" x14ac:dyDescent="0.2">
      <c r="A110" s="360" t="s">
        <v>3</v>
      </c>
      <c r="B110" s="361" t="str">
        <f>'Data Table'!B4</f>
        <v>Within 1 month</v>
      </c>
      <c r="C110" s="143">
        <f>VLOOKUP('Data Table'!B4,B14:C23,2,FALSE)</f>
        <v>4</v>
      </c>
      <c r="D110" s="143">
        <f>'Data Table'!C4</f>
        <v>5</v>
      </c>
      <c r="E110" s="362">
        <f>10-('Data Table'!D4*10)</f>
        <v>7.5</v>
      </c>
    </row>
    <row r="111" spans="1:48" x14ac:dyDescent="0.2">
      <c r="A111" s="360" t="s">
        <v>4</v>
      </c>
      <c r="B111" s="361" t="str">
        <f>'Data Table'!B5</f>
        <v>Up to 1 month</v>
      </c>
      <c r="C111" s="143">
        <f>VLOOKUP('Data Table'!B5,B26:C32,2,FALSE)</f>
        <v>3</v>
      </c>
      <c r="D111" s="143">
        <f>'Data Table'!C5</f>
        <v>9</v>
      </c>
      <c r="E111" s="362">
        <f>10-('Data Table'!D5*10)</f>
        <v>7.5</v>
      </c>
    </row>
    <row r="112" spans="1:48" x14ac:dyDescent="0.2">
      <c r="A112" s="360" t="s">
        <v>5</v>
      </c>
      <c r="B112" s="361" t="str">
        <f>'Data Table'!B6</f>
        <v>Time Period Comparison (2 points)</v>
      </c>
      <c r="C112" s="143">
        <f>VLOOKUP('Data Table'!B6,B35:C44,2,FALSE)</f>
        <v>2</v>
      </c>
      <c r="D112" s="143">
        <f>'Data Table'!C6</f>
        <v>9</v>
      </c>
      <c r="E112" s="362">
        <f>10-('Data Table'!D6*10)</f>
        <v>5</v>
      </c>
    </row>
    <row r="113" spans="1:29" x14ac:dyDescent="0.2">
      <c r="A113" s="360" t="s">
        <v>112</v>
      </c>
      <c r="B113" s="361" t="str">
        <f>'Data Table'!B7</f>
        <v>Metre</v>
      </c>
      <c r="C113" s="143">
        <f>VLOOKUP('Data Table'!B7,B47:C51,2,FALSE)</f>
        <v>2</v>
      </c>
      <c r="D113" s="143">
        <f>'Data Table'!C7</f>
        <v>5</v>
      </c>
      <c r="E113" s="362">
        <f>10-('Data Table'!D7*10)</f>
        <v>5</v>
      </c>
    </row>
    <row r="114" spans="1:29" x14ac:dyDescent="0.2">
      <c r="A114" s="360" t="s">
        <v>194</v>
      </c>
      <c r="B114" s="361" t="str">
        <f>'Data Table'!B8</f>
        <v>Plot (1 ha to 1 km2)</v>
      </c>
      <c r="C114" s="143">
        <f>VLOOKUP('Data Table'!B8,B61:C64,2,FALSE)</f>
        <v>1</v>
      </c>
      <c r="D114" s="143">
        <f>'Data Table'!C8</f>
        <v>5</v>
      </c>
      <c r="E114" s="362">
        <f>10-('Data Table'!D8*10)</f>
        <v>5</v>
      </c>
    </row>
    <row r="115" spans="1:29" x14ac:dyDescent="0.2">
      <c r="A115" s="360" t="s">
        <v>6</v>
      </c>
      <c r="B115" s="361" t="str">
        <f>'Data Table'!B9</f>
        <v>Plot (1 ha to 1 km2)</v>
      </c>
      <c r="C115" s="143">
        <f>VLOOKUP('Data Table'!B9,B61:C64,2,FALSE)</f>
        <v>1</v>
      </c>
      <c r="D115" s="143">
        <f>'Data Table'!C9</f>
        <v>5</v>
      </c>
      <c r="E115" s="362">
        <f>10-('Data Table'!D9*10)</f>
        <v>5</v>
      </c>
    </row>
    <row r="116" spans="1:29" x14ac:dyDescent="0.2">
      <c r="A116" s="360" t="s">
        <v>7</v>
      </c>
      <c r="B116" s="361" t="str">
        <f>'Data Table'!B10</f>
        <v>*please select*</v>
      </c>
      <c r="C116" s="143" t="e">
        <f>VLOOKUP('Data Table'!B10,B69:C71,2,FALSE)</f>
        <v>#N/A</v>
      </c>
      <c r="D116" s="143">
        <f>'Data Table'!C10</f>
        <v>5</v>
      </c>
      <c r="E116" s="362">
        <f>10-('Data Table'!D10*10)</f>
        <v>10</v>
      </c>
    </row>
    <row r="117" spans="1:29" x14ac:dyDescent="0.2">
      <c r="A117" s="360" t="s">
        <v>63</v>
      </c>
      <c r="B117" s="361" t="str">
        <f>'Data Table'!B11</f>
        <v>Yes</v>
      </c>
      <c r="C117" s="143">
        <f>IF('Data Table'!$B$11="Yes",1,0)</f>
        <v>1</v>
      </c>
      <c r="D117" s="143">
        <f>'Data Table'!C11*$C$117</f>
        <v>0</v>
      </c>
      <c r="E117" s="362">
        <f>(10-('Data Table'!D11*10))*C117</f>
        <v>10</v>
      </c>
    </row>
    <row r="118" spans="1:29" x14ac:dyDescent="0.2">
      <c r="A118" s="360" t="s">
        <v>64</v>
      </c>
      <c r="B118" s="361" t="str">
        <f>'Data Table'!B12</f>
        <v>Yes</v>
      </c>
      <c r="C118" s="143">
        <f>IF('Data Table'!$B$12="Yes",1,0)</f>
        <v>1</v>
      </c>
      <c r="D118" s="143">
        <f>'Data Table'!C12*$C$118</f>
        <v>0</v>
      </c>
      <c r="E118" s="362">
        <f>(10-('Data Table'!D12*10))*C118</f>
        <v>10</v>
      </c>
    </row>
    <row r="119" spans="1:29" x14ac:dyDescent="0.2">
      <c r="A119" s="360" t="s">
        <v>167</v>
      </c>
      <c r="B119" s="361" t="b">
        <f>'Data Table'!B13</f>
        <v>0</v>
      </c>
      <c r="C119" s="143" t="e">
        <f>VLOOKUP('Data Table'!B13,B77:C80,2,FALSE)</f>
        <v>#N/A</v>
      </c>
      <c r="D119" s="143" t="b">
        <f>'Data Table'!C13</f>
        <v>0</v>
      </c>
      <c r="E119" s="362">
        <f>10-('Data Table'!D13*10)</f>
        <v>10</v>
      </c>
    </row>
    <row r="120" spans="1:29" ht="17" thickBot="1" x14ac:dyDescent="0.25">
      <c r="A120" s="363" t="s">
        <v>166</v>
      </c>
      <c r="B120" s="364" t="b">
        <f>'Data Table'!B14</f>
        <v>0</v>
      </c>
      <c r="C120" s="365" t="e">
        <f>VLOOKUP('Data Table'!B14,B83:C85,2,FALSE)</f>
        <v>#N/A</v>
      </c>
      <c r="D120" s="365" t="b">
        <f>'Data Table'!C14</f>
        <v>0</v>
      </c>
      <c r="E120" s="366">
        <f>10-('Data Table'!D14*10)</f>
        <v>10</v>
      </c>
    </row>
    <row r="126" spans="1:29" x14ac:dyDescent="0.2">
      <c r="A126" s="367"/>
      <c r="B126" s="367"/>
      <c r="C126" s="368"/>
      <c r="F126" s="369"/>
      <c r="G126" s="369"/>
      <c r="H126" s="369"/>
      <c r="I126" s="369"/>
      <c r="J126" s="369"/>
      <c r="K126" s="369"/>
      <c r="L126" s="369"/>
      <c r="M126" s="369"/>
      <c r="N126" s="369"/>
      <c r="Q126" s="370" t="s">
        <v>91</v>
      </c>
      <c r="R126" s="371" t="s">
        <v>130</v>
      </c>
    </row>
    <row r="127" spans="1:29" x14ac:dyDescent="0.2">
      <c r="A127" s="215" t="s">
        <v>75</v>
      </c>
      <c r="B127" s="215" t="s">
        <v>76</v>
      </c>
      <c r="C127" s="187" t="s">
        <v>92</v>
      </c>
      <c r="D127" s="147" t="s">
        <v>93</v>
      </c>
      <c r="E127" s="147" t="s">
        <v>101</v>
      </c>
      <c r="F127" s="147" t="s">
        <v>94</v>
      </c>
      <c r="G127" s="147" t="s">
        <v>95</v>
      </c>
      <c r="H127" s="147" t="s">
        <v>96</v>
      </c>
      <c r="I127" s="147" t="s">
        <v>97</v>
      </c>
      <c r="J127" s="147" t="s">
        <v>114</v>
      </c>
      <c r="K127" s="147" t="s">
        <v>198</v>
      </c>
      <c r="L127" s="147" t="s">
        <v>98</v>
      </c>
      <c r="M127" s="147" t="s">
        <v>99</v>
      </c>
      <c r="N127" s="147" t="s">
        <v>100</v>
      </c>
      <c r="O127" s="187" t="s">
        <v>175</v>
      </c>
      <c r="P127" s="187" t="s">
        <v>176</v>
      </c>
      <c r="Q127" s="372"/>
    </row>
    <row r="128" spans="1:29" x14ac:dyDescent="0.2">
      <c r="A128" s="187" t="s">
        <v>51</v>
      </c>
      <c r="B128" s="368" t="e">
        <f>H102</f>
        <v>#N/A</v>
      </c>
      <c r="C128" s="373">
        <f>H96</f>
        <v>0</v>
      </c>
      <c r="D128" s="373" t="e">
        <f t="shared" ref="D128:D145" si="148">C128/$B$93</f>
        <v>#DIV/0!</v>
      </c>
      <c r="E128" s="374">
        <f>$AA96/$G$96</f>
        <v>1</v>
      </c>
      <c r="F128" s="374">
        <f t="shared" ref="F128:F145" si="149">INDEX($AA$12:$AR$12,1,$Q128)/$G$12</f>
        <v>0</v>
      </c>
      <c r="G128" s="374">
        <f t="shared" ref="G128:G145" si="150">INDEX($AA$24:$AR$24,1,$Q128)/$G$24</f>
        <v>1</v>
      </c>
      <c r="H128" s="374">
        <f t="shared" ref="H128:H145" si="151">INDEX($AA$33:$AR$33,1,$Q128)/$G$33</f>
        <v>1</v>
      </c>
      <c r="I128" s="374">
        <f t="shared" ref="I128:I145" si="152">INDEX($AA$45:$AR$45,1,$Q128)/$G$45</f>
        <v>1</v>
      </c>
      <c r="J128" s="374">
        <f t="shared" ref="J128:J145" si="153">INDEX($AA$52:$AR$52,1,$Q128)/$G$52</f>
        <v>1</v>
      </c>
      <c r="K128" s="374">
        <f>INDEX($AA$67:$AR$67,1,$Q128)/$G$65</f>
        <v>1</v>
      </c>
      <c r="L128" s="374" t="e">
        <f t="shared" ref="L128:L145" si="154">INDEX($AA$72:$AR$72,1,$Q128)/$G$72</f>
        <v>#N/A</v>
      </c>
      <c r="M128" s="374" t="str">
        <f t="shared" ref="M128:M145" si="155">IF($G$74=0,"NA",INDEX($AA$74:$AR$74,1,$Q128)/$G$74)</f>
        <v>NA</v>
      </c>
      <c r="N128" s="374" t="str">
        <f t="shared" ref="N128:N145" si="156">IF($G$75=0,"NA",INDEX($AA$75:$AR$75,1,$Q128)/$G$75)</f>
        <v>NA</v>
      </c>
      <c r="O128" s="374" t="e">
        <f t="shared" ref="O128:O145" si="157">INDEX($AA$81:$AR$81,1,$Q128)/$G$81</f>
        <v>#N/A</v>
      </c>
      <c r="P128" s="374" t="e">
        <f t="shared" ref="P128:P145" si="158">INDEX($AA$86:$AR$86,1,$Q128)/$G$86</f>
        <v>#N/A</v>
      </c>
      <c r="Q128" s="375">
        <v>1</v>
      </c>
      <c r="R128" s="369" t="e">
        <f t="shared" ref="R128:R145" si="159">RANK(B128,$B$128:$B$145)</f>
        <v>#N/A</v>
      </c>
      <c r="S128" s="376"/>
      <c r="T128" s="376"/>
      <c r="U128" s="376"/>
      <c r="V128" s="376"/>
      <c r="W128" s="376"/>
      <c r="X128" s="376"/>
      <c r="Y128" s="376"/>
      <c r="Z128" s="376"/>
      <c r="AA128" s="376"/>
      <c r="AB128" s="376"/>
      <c r="AC128" s="376"/>
    </row>
    <row r="129" spans="1:29" x14ac:dyDescent="0.2">
      <c r="A129" s="187" t="s">
        <v>52</v>
      </c>
      <c r="B129" s="368" t="e">
        <f>I102</f>
        <v>#N/A</v>
      </c>
      <c r="C129" s="373">
        <f>I96</f>
        <v>0</v>
      </c>
      <c r="D129" s="373" t="e">
        <f t="shared" si="148"/>
        <v>#DIV/0!</v>
      </c>
      <c r="E129" s="374">
        <f>$AB96/$G$96</f>
        <v>1</v>
      </c>
      <c r="F129" s="374">
        <f t="shared" si="149"/>
        <v>0</v>
      </c>
      <c r="G129" s="374">
        <f t="shared" si="150"/>
        <v>1</v>
      </c>
      <c r="H129" s="374">
        <f t="shared" si="151"/>
        <v>1</v>
      </c>
      <c r="I129" s="374">
        <f t="shared" si="152"/>
        <v>1</v>
      </c>
      <c r="J129" s="374">
        <f t="shared" si="153"/>
        <v>1</v>
      </c>
      <c r="K129" s="374">
        <f t="shared" ref="K129:K145" si="160">INDEX($AA$65:$AR$65,1,$Q129)/$G$65</f>
        <v>1</v>
      </c>
      <c r="L129" s="374" t="e">
        <f t="shared" si="154"/>
        <v>#N/A</v>
      </c>
      <c r="M129" s="374" t="str">
        <f t="shared" si="155"/>
        <v>NA</v>
      </c>
      <c r="N129" s="374" t="str">
        <f t="shared" si="156"/>
        <v>NA</v>
      </c>
      <c r="O129" s="374" t="e">
        <f t="shared" si="157"/>
        <v>#N/A</v>
      </c>
      <c r="P129" s="374" t="e">
        <f t="shared" si="158"/>
        <v>#N/A</v>
      </c>
      <c r="Q129" s="375">
        <v>2</v>
      </c>
      <c r="R129" s="369" t="e">
        <f t="shared" si="159"/>
        <v>#N/A</v>
      </c>
      <c r="S129" s="376"/>
      <c r="T129" s="376"/>
      <c r="U129" s="376"/>
      <c r="V129" s="376"/>
      <c r="W129" s="376"/>
      <c r="X129" s="376"/>
      <c r="Y129" s="376"/>
      <c r="Z129" s="376"/>
      <c r="AA129" s="376"/>
      <c r="AB129" s="376"/>
      <c r="AC129" s="376"/>
    </row>
    <row r="130" spans="1:29" x14ac:dyDescent="0.2">
      <c r="A130" s="187" t="s">
        <v>161</v>
      </c>
      <c r="B130" s="368" t="e">
        <f>J102</f>
        <v>#N/A</v>
      </c>
      <c r="C130" s="373">
        <f>J96</f>
        <v>0</v>
      </c>
      <c r="D130" s="373" t="e">
        <f t="shared" si="148"/>
        <v>#DIV/0!</v>
      </c>
      <c r="E130" s="374">
        <f>$AC96/$G$96</f>
        <v>1</v>
      </c>
      <c r="F130" s="374">
        <f t="shared" si="149"/>
        <v>0</v>
      </c>
      <c r="G130" s="374">
        <f t="shared" si="150"/>
        <v>1</v>
      </c>
      <c r="H130" s="374">
        <f t="shared" si="151"/>
        <v>1</v>
      </c>
      <c r="I130" s="374">
        <f t="shared" si="152"/>
        <v>1</v>
      </c>
      <c r="J130" s="374">
        <f t="shared" si="153"/>
        <v>1</v>
      </c>
      <c r="K130" s="374">
        <f t="shared" si="160"/>
        <v>1</v>
      </c>
      <c r="L130" s="374" t="e">
        <f t="shared" si="154"/>
        <v>#N/A</v>
      </c>
      <c r="M130" s="374" t="str">
        <f t="shared" si="155"/>
        <v>NA</v>
      </c>
      <c r="N130" s="374" t="str">
        <f t="shared" si="156"/>
        <v>NA</v>
      </c>
      <c r="O130" s="374" t="e">
        <f t="shared" si="157"/>
        <v>#N/A</v>
      </c>
      <c r="P130" s="374" t="e">
        <f t="shared" si="158"/>
        <v>#N/A</v>
      </c>
      <c r="Q130" s="375">
        <v>3</v>
      </c>
      <c r="R130" s="369" t="e">
        <f t="shared" si="159"/>
        <v>#N/A</v>
      </c>
      <c r="S130" s="376"/>
      <c r="T130" s="376"/>
      <c r="U130" s="376"/>
      <c r="V130" s="376"/>
      <c r="W130" s="376"/>
      <c r="X130" s="376"/>
      <c r="Y130" s="376"/>
      <c r="Z130" s="376"/>
      <c r="AA130" s="376"/>
      <c r="AB130" s="376"/>
      <c r="AC130" s="376"/>
    </row>
    <row r="131" spans="1:29" x14ac:dyDescent="0.2">
      <c r="A131" s="187" t="s">
        <v>53</v>
      </c>
      <c r="B131" s="368" t="e">
        <f>K102</f>
        <v>#N/A</v>
      </c>
      <c r="C131" s="373">
        <f>K96</f>
        <v>0</v>
      </c>
      <c r="D131" s="373" t="e">
        <f t="shared" si="148"/>
        <v>#DIV/0!</v>
      </c>
      <c r="E131" s="374">
        <f>$AD96/$G$96</f>
        <v>1</v>
      </c>
      <c r="F131" s="374">
        <f t="shared" si="149"/>
        <v>0</v>
      </c>
      <c r="G131" s="374">
        <f t="shared" si="150"/>
        <v>1</v>
      </c>
      <c r="H131" s="374">
        <f t="shared" si="151"/>
        <v>1</v>
      </c>
      <c r="I131" s="374">
        <f t="shared" si="152"/>
        <v>1</v>
      </c>
      <c r="J131" s="374">
        <f t="shared" si="153"/>
        <v>1</v>
      </c>
      <c r="K131" s="374">
        <f t="shared" si="160"/>
        <v>1</v>
      </c>
      <c r="L131" s="374" t="e">
        <f t="shared" si="154"/>
        <v>#N/A</v>
      </c>
      <c r="M131" s="374" t="str">
        <f t="shared" si="155"/>
        <v>NA</v>
      </c>
      <c r="N131" s="374" t="str">
        <f t="shared" si="156"/>
        <v>NA</v>
      </c>
      <c r="O131" s="374" t="e">
        <f t="shared" si="157"/>
        <v>#N/A</v>
      </c>
      <c r="P131" s="374" t="e">
        <f t="shared" si="158"/>
        <v>#N/A</v>
      </c>
      <c r="Q131" s="375">
        <v>4</v>
      </c>
      <c r="R131" s="369" t="e">
        <f t="shared" si="159"/>
        <v>#N/A</v>
      </c>
      <c r="S131" s="376"/>
      <c r="T131" s="376"/>
      <c r="U131" s="376"/>
      <c r="V131" s="376"/>
      <c r="W131" s="376"/>
      <c r="X131" s="376"/>
      <c r="Y131" s="376"/>
      <c r="Z131" s="376"/>
      <c r="AA131" s="376"/>
      <c r="AB131" s="376"/>
      <c r="AC131" s="376"/>
    </row>
    <row r="132" spans="1:29" x14ac:dyDescent="0.2">
      <c r="A132" s="187" t="s">
        <v>55</v>
      </c>
      <c r="B132" s="368" t="e">
        <f>L102</f>
        <v>#N/A</v>
      </c>
      <c r="C132" s="373">
        <f>L96</f>
        <v>0</v>
      </c>
      <c r="D132" s="373" t="e">
        <f t="shared" si="148"/>
        <v>#DIV/0!</v>
      </c>
      <c r="E132" s="374">
        <f>$AE96/$G$96</f>
        <v>1</v>
      </c>
      <c r="F132" s="374">
        <f t="shared" si="149"/>
        <v>0</v>
      </c>
      <c r="G132" s="374">
        <f t="shared" si="150"/>
        <v>1</v>
      </c>
      <c r="H132" s="374">
        <f t="shared" si="151"/>
        <v>1</v>
      </c>
      <c r="I132" s="374">
        <f t="shared" si="152"/>
        <v>1</v>
      </c>
      <c r="J132" s="374">
        <f t="shared" si="153"/>
        <v>1</v>
      </c>
      <c r="K132" s="374">
        <f t="shared" si="160"/>
        <v>1</v>
      </c>
      <c r="L132" s="374" t="e">
        <f t="shared" si="154"/>
        <v>#N/A</v>
      </c>
      <c r="M132" s="374" t="str">
        <f t="shared" si="155"/>
        <v>NA</v>
      </c>
      <c r="N132" s="374" t="str">
        <f t="shared" si="156"/>
        <v>NA</v>
      </c>
      <c r="O132" s="374" t="e">
        <f t="shared" si="157"/>
        <v>#N/A</v>
      </c>
      <c r="P132" s="374" t="e">
        <f t="shared" si="158"/>
        <v>#N/A</v>
      </c>
      <c r="Q132" s="375">
        <v>5</v>
      </c>
      <c r="R132" s="369" t="e">
        <f t="shared" si="159"/>
        <v>#N/A</v>
      </c>
      <c r="S132" s="376"/>
      <c r="T132" s="376"/>
      <c r="U132" s="376"/>
      <c r="V132" s="376"/>
      <c r="W132" s="376"/>
      <c r="X132" s="376"/>
      <c r="Y132" s="376"/>
      <c r="Z132" s="376"/>
      <c r="AA132" s="376"/>
      <c r="AB132" s="376"/>
      <c r="AC132" s="376"/>
    </row>
    <row r="133" spans="1:29" x14ac:dyDescent="0.2">
      <c r="A133" s="187" t="s">
        <v>162</v>
      </c>
      <c r="B133" s="368" t="e">
        <f>M102</f>
        <v>#N/A</v>
      </c>
      <c r="C133" s="373">
        <f>M96</f>
        <v>0</v>
      </c>
      <c r="D133" s="373" t="e">
        <f t="shared" si="148"/>
        <v>#DIV/0!</v>
      </c>
      <c r="E133" s="374">
        <f>$AF96/$G$96</f>
        <v>1</v>
      </c>
      <c r="F133" s="374">
        <f t="shared" si="149"/>
        <v>0</v>
      </c>
      <c r="G133" s="374">
        <f t="shared" si="150"/>
        <v>1</v>
      </c>
      <c r="H133" s="374">
        <f t="shared" si="151"/>
        <v>1</v>
      </c>
      <c r="I133" s="374">
        <f t="shared" si="152"/>
        <v>1</v>
      </c>
      <c r="J133" s="374">
        <f t="shared" si="153"/>
        <v>1</v>
      </c>
      <c r="K133" s="374">
        <f t="shared" si="160"/>
        <v>1</v>
      </c>
      <c r="L133" s="374" t="e">
        <f t="shared" si="154"/>
        <v>#N/A</v>
      </c>
      <c r="M133" s="374" t="str">
        <f t="shared" si="155"/>
        <v>NA</v>
      </c>
      <c r="N133" s="374" t="str">
        <f t="shared" si="156"/>
        <v>NA</v>
      </c>
      <c r="O133" s="374" t="e">
        <f t="shared" si="157"/>
        <v>#N/A</v>
      </c>
      <c r="P133" s="374" t="e">
        <f t="shared" si="158"/>
        <v>#N/A</v>
      </c>
      <c r="Q133" s="375">
        <v>6</v>
      </c>
      <c r="R133" s="369" t="e">
        <f t="shared" si="159"/>
        <v>#N/A</v>
      </c>
      <c r="S133" s="376"/>
      <c r="T133" s="376"/>
      <c r="U133" s="376"/>
      <c r="V133" s="376"/>
      <c r="W133" s="376"/>
      <c r="X133" s="376"/>
      <c r="Y133" s="376"/>
      <c r="Z133" s="376"/>
      <c r="AA133" s="376"/>
      <c r="AB133" s="376"/>
      <c r="AC133" s="376"/>
    </row>
    <row r="134" spans="1:29" x14ac:dyDescent="0.2">
      <c r="A134" s="187" t="s">
        <v>54</v>
      </c>
      <c r="B134" s="368" t="e">
        <f>N102</f>
        <v>#N/A</v>
      </c>
      <c r="C134" s="373">
        <f>N96</f>
        <v>0</v>
      </c>
      <c r="D134" s="373" t="e">
        <f t="shared" si="148"/>
        <v>#DIV/0!</v>
      </c>
      <c r="E134" s="374">
        <f>$AG96/$G$96</f>
        <v>1</v>
      </c>
      <c r="F134" s="374">
        <f t="shared" si="149"/>
        <v>0</v>
      </c>
      <c r="G134" s="374">
        <f t="shared" si="150"/>
        <v>1</v>
      </c>
      <c r="H134" s="374">
        <f t="shared" si="151"/>
        <v>1</v>
      </c>
      <c r="I134" s="374">
        <f t="shared" si="152"/>
        <v>1</v>
      </c>
      <c r="J134" s="374">
        <f t="shared" si="153"/>
        <v>1</v>
      </c>
      <c r="K134" s="374">
        <f t="shared" si="160"/>
        <v>1</v>
      </c>
      <c r="L134" s="374" t="e">
        <f t="shared" si="154"/>
        <v>#N/A</v>
      </c>
      <c r="M134" s="374" t="str">
        <f t="shared" si="155"/>
        <v>NA</v>
      </c>
      <c r="N134" s="374" t="str">
        <f t="shared" si="156"/>
        <v>NA</v>
      </c>
      <c r="O134" s="374" t="e">
        <f t="shared" si="157"/>
        <v>#N/A</v>
      </c>
      <c r="P134" s="374" t="e">
        <f t="shared" si="158"/>
        <v>#N/A</v>
      </c>
      <c r="Q134" s="375">
        <v>7</v>
      </c>
      <c r="R134" s="369" t="e">
        <f t="shared" si="159"/>
        <v>#N/A</v>
      </c>
      <c r="S134" s="376"/>
      <c r="T134" s="376"/>
      <c r="U134" s="376"/>
      <c r="V134" s="376"/>
      <c r="W134" s="376"/>
      <c r="X134" s="376"/>
      <c r="Y134" s="376"/>
      <c r="Z134" s="376"/>
      <c r="AA134" s="376"/>
      <c r="AB134" s="376"/>
      <c r="AC134" s="376"/>
    </row>
    <row r="135" spans="1:29" x14ac:dyDescent="0.2">
      <c r="A135" s="187" t="s">
        <v>56</v>
      </c>
      <c r="B135" s="368" t="e">
        <f>O102</f>
        <v>#N/A</v>
      </c>
      <c r="C135" s="373">
        <f>O96</f>
        <v>150000</v>
      </c>
      <c r="D135" s="373" t="e">
        <f t="shared" si="148"/>
        <v>#DIV/0!</v>
      </c>
      <c r="E135" s="374">
        <f>$AH96/$G$96</f>
        <v>0</v>
      </c>
      <c r="F135" s="374">
        <f t="shared" si="149"/>
        <v>0</v>
      </c>
      <c r="G135" s="374">
        <f t="shared" si="150"/>
        <v>1</v>
      </c>
      <c r="H135" s="374">
        <f t="shared" si="151"/>
        <v>1</v>
      </c>
      <c r="I135" s="374">
        <f t="shared" si="152"/>
        <v>1</v>
      </c>
      <c r="J135" s="374">
        <f t="shared" si="153"/>
        <v>0.88000000000000012</v>
      </c>
      <c r="K135" s="374">
        <f t="shared" si="160"/>
        <v>1</v>
      </c>
      <c r="L135" s="374" t="e">
        <f t="shared" si="154"/>
        <v>#N/A</v>
      </c>
      <c r="M135" s="374" t="str">
        <f t="shared" si="155"/>
        <v>NA</v>
      </c>
      <c r="N135" s="374" t="str">
        <f t="shared" si="156"/>
        <v>NA</v>
      </c>
      <c r="O135" s="374" t="e">
        <f t="shared" si="157"/>
        <v>#N/A</v>
      </c>
      <c r="P135" s="374" t="e">
        <f t="shared" si="158"/>
        <v>#N/A</v>
      </c>
      <c r="Q135" s="375">
        <v>8</v>
      </c>
      <c r="R135" s="369" t="e">
        <f t="shared" si="159"/>
        <v>#N/A</v>
      </c>
      <c r="S135" s="376"/>
      <c r="T135" s="376"/>
      <c r="U135" s="376"/>
      <c r="V135" s="376"/>
      <c r="W135" s="376"/>
      <c r="X135" s="376"/>
      <c r="Y135" s="376"/>
      <c r="Z135" s="376"/>
      <c r="AA135" s="376"/>
      <c r="AB135" s="376"/>
      <c r="AC135" s="376"/>
    </row>
    <row r="136" spans="1:29" x14ac:dyDescent="0.2">
      <c r="A136" s="187" t="s">
        <v>163</v>
      </c>
      <c r="B136" s="368" t="e">
        <f>P102</f>
        <v>#N/A</v>
      </c>
      <c r="C136" s="373">
        <f>P96</f>
        <v>150000</v>
      </c>
      <c r="D136" s="373" t="e">
        <f t="shared" si="148"/>
        <v>#DIV/0!</v>
      </c>
      <c r="E136" s="374">
        <f>$AI96/$G$96</f>
        <v>0</v>
      </c>
      <c r="F136" s="374">
        <f t="shared" si="149"/>
        <v>0</v>
      </c>
      <c r="G136" s="374">
        <f t="shared" si="150"/>
        <v>1</v>
      </c>
      <c r="H136" s="374">
        <f t="shared" si="151"/>
        <v>1</v>
      </c>
      <c r="I136" s="374">
        <f t="shared" si="152"/>
        <v>1</v>
      </c>
      <c r="J136" s="374">
        <f t="shared" si="153"/>
        <v>0.88000000000000012</v>
      </c>
      <c r="K136" s="374">
        <f t="shared" si="160"/>
        <v>1</v>
      </c>
      <c r="L136" s="374" t="e">
        <f t="shared" si="154"/>
        <v>#N/A</v>
      </c>
      <c r="M136" s="374" t="str">
        <f t="shared" si="155"/>
        <v>NA</v>
      </c>
      <c r="N136" s="374" t="str">
        <f t="shared" si="156"/>
        <v>NA</v>
      </c>
      <c r="O136" s="374" t="e">
        <f t="shared" si="157"/>
        <v>#N/A</v>
      </c>
      <c r="P136" s="374" t="e">
        <f t="shared" si="158"/>
        <v>#N/A</v>
      </c>
      <c r="Q136" s="375">
        <v>9</v>
      </c>
      <c r="R136" s="369" t="e">
        <f t="shared" si="159"/>
        <v>#N/A</v>
      </c>
      <c r="S136" s="376"/>
      <c r="T136" s="376"/>
      <c r="U136" s="376"/>
      <c r="V136" s="376"/>
      <c r="W136" s="376"/>
      <c r="X136" s="376"/>
      <c r="Y136" s="376"/>
      <c r="Z136" s="376"/>
      <c r="AA136" s="376"/>
      <c r="AB136" s="376"/>
      <c r="AC136" s="376"/>
    </row>
    <row r="137" spans="1:29" x14ac:dyDescent="0.2">
      <c r="A137" s="187" t="s">
        <v>57</v>
      </c>
      <c r="B137" s="368" t="e">
        <f>Q102</f>
        <v>#N/A</v>
      </c>
      <c r="C137" s="373">
        <f>Q96</f>
        <v>150000</v>
      </c>
      <c r="D137" s="373" t="e">
        <f t="shared" si="148"/>
        <v>#DIV/0!</v>
      </c>
      <c r="E137" s="374">
        <f>$AJ96/$G$96</f>
        <v>0</v>
      </c>
      <c r="F137" s="374">
        <f t="shared" si="149"/>
        <v>0</v>
      </c>
      <c r="G137" s="374">
        <f t="shared" si="150"/>
        <v>1</v>
      </c>
      <c r="H137" s="374">
        <f t="shared" si="151"/>
        <v>1</v>
      </c>
      <c r="I137" s="374">
        <f t="shared" si="152"/>
        <v>1</v>
      </c>
      <c r="J137" s="374">
        <f t="shared" si="153"/>
        <v>1</v>
      </c>
      <c r="K137" s="374">
        <f t="shared" si="160"/>
        <v>1</v>
      </c>
      <c r="L137" s="374" t="e">
        <f t="shared" si="154"/>
        <v>#N/A</v>
      </c>
      <c r="M137" s="374" t="str">
        <f t="shared" si="155"/>
        <v>NA</v>
      </c>
      <c r="N137" s="374" t="str">
        <f t="shared" si="156"/>
        <v>NA</v>
      </c>
      <c r="O137" s="374" t="e">
        <f t="shared" si="157"/>
        <v>#N/A</v>
      </c>
      <c r="P137" s="374" t="e">
        <f t="shared" si="158"/>
        <v>#N/A</v>
      </c>
      <c r="Q137" s="375">
        <v>10</v>
      </c>
      <c r="R137" s="369" t="e">
        <f t="shared" si="159"/>
        <v>#N/A</v>
      </c>
      <c r="S137" s="376"/>
      <c r="T137" s="376"/>
      <c r="U137" s="376"/>
      <c r="V137" s="376"/>
      <c r="W137" s="376"/>
      <c r="X137" s="376"/>
      <c r="Y137" s="376"/>
      <c r="Z137" s="376"/>
      <c r="AA137" s="376"/>
      <c r="AB137" s="376"/>
      <c r="AC137" s="376"/>
    </row>
    <row r="138" spans="1:29" x14ac:dyDescent="0.2">
      <c r="A138" s="187" t="s">
        <v>58</v>
      </c>
      <c r="B138" s="368" t="e">
        <f>R102</f>
        <v>#N/A</v>
      </c>
      <c r="C138" s="373">
        <f>R96</f>
        <v>150000</v>
      </c>
      <c r="D138" s="373" t="e">
        <f t="shared" si="148"/>
        <v>#DIV/0!</v>
      </c>
      <c r="E138" s="374">
        <f>$AK96/$G$96</f>
        <v>0</v>
      </c>
      <c r="F138" s="374">
        <f t="shared" si="149"/>
        <v>0</v>
      </c>
      <c r="G138" s="374">
        <f t="shared" si="150"/>
        <v>0.5</v>
      </c>
      <c r="H138" s="374">
        <f t="shared" si="151"/>
        <v>1</v>
      </c>
      <c r="I138" s="374">
        <f t="shared" si="152"/>
        <v>1</v>
      </c>
      <c r="J138" s="374">
        <f t="shared" si="153"/>
        <v>0.88000000000000012</v>
      </c>
      <c r="K138" s="374">
        <f t="shared" si="160"/>
        <v>1</v>
      </c>
      <c r="L138" s="374" t="e">
        <f t="shared" si="154"/>
        <v>#N/A</v>
      </c>
      <c r="M138" s="374" t="str">
        <f t="shared" si="155"/>
        <v>NA</v>
      </c>
      <c r="N138" s="374" t="str">
        <f t="shared" si="156"/>
        <v>NA</v>
      </c>
      <c r="O138" s="374" t="e">
        <f t="shared" si="157"/>
        <v>#N/A</v>
      </c>
      <c r="P138" s="374" t="e">
        <f t="shared" si="158"/>
        <v>#N/A</v>
      </c>
      <c r="Q138" s="375">
        <v>11</v>
      </c>
      <c r="R138" s="369" t="e">
        <f t="shared" si="159"/>
        <v>#N/A</v>
      </c>
      <c r="S138" s="376"/>
      <c r="T138" s="376"/>
      <c r="U138" s="376"/>
      <c r="V138" s="376"/>
      <c r="W138" s="376"/>
      <c r="X138" s="376"/>
      <c r="Y138" s="376"/>
      <c r="Z138" s="376"/>
      <c r="AA138" s="376"/>
      <c r="AB138" s="376"/>
      <c r="AC138" s="376"/>
    </row>
    <row r="139" spans="1:29" x14ac:dyDescent="0.2">
      <c r="A139" s="187" t="s">
        <v>164</v>
      </c>
      <c r="B139" s="368" t="e">
        <f>S102</f>
        <v>#N/A</v>
      </c>
      <c r="C139" s="373">
        <f>S96</f>
        <v>150000</v>
      </c>
      <c r="D139" s="373" t="e">
        <f t="shared" si="148"/>
        <v>#DIV/0!</v>
      </c>
      <c r="E139" s="374">
        <f>$AL96/$G$96</f>
        <v>0</v>
      </c>
      <c r="F139" s="374">
        <f t="shared" si="149"/>
        <v>0</v>
      </c>
      <c r="G139" s="374">
        <f t="shared" si="150"/>
        <v>0.5</v>
      </c>
      <c r="H139" s="374">
        <f t="shared" si="151"/>
        <v>1</v>
      </c>
      <c r="I139" s="374">
        <f t="shared" si="152"/>
        <v>1</v>
      </c>
      <c r="J139" s="374">
        <f t="shared" si="153"/>
        <v>0.88000000000000012</v>
      </c>
      <c r="K139" s="374">
        <f t="shared" si="160"/>
        <v>1</v>
      </c>
      <c r="L139" s="374" t="e">
        <f t="shared" si="154"/>
        <v>#N/A</v>
      </c>
      <c r="M139" s="374" t="str">
        <f t="shared" si="155"/>
        <v>NA</v>
      </c>
      <c r="N139" s="374" t="str">
        <f t="shared" si="156"/>
        <v>NA</v>
      </c>
      <c r="O139" s="374" t="e">
        <f t="shared" si="157"/>
        <v>#N/A</v>
      </c>
      <c r="P139" s="374" t="e">
        <f t="shared" si="158"/>
        <v>#N/A</v>
      </c>
      <c r="Q139" s="375">
        <v>12</v>
      </c>
      <c r="R139" s="369" t="e">
        <f t="shared" si="159"/>
        <v>#N/A</v>
      </c>
      <c r="S139" s="376"/>
      <c r="T139" s="376"/>
      <c r="U139" s="376"/>
      <c r="V139" s="376"/>
      <c r="W139" s="376"/>
      <c r="X139" s="376"/>
      <c r="Y139" s="376"/>
      <c r="Z139" s="376"/>
      <c r="AA139" s="376"/>
      <c r="AB139" s="376"/>
      <c r="AC139" s="376"/>
    </row>
    <row r="140" spans="1:29" x14ac:dyDescent="0.2">
      <c r="A140" s="187" t="s">
        <v>59</v>
      </c>
      <c r="B140" s="368" t="e">
        <f>T102</f>
        <v>#N/A</v>
      </c>
      <c r="C140" s="373">
        <f>T96</f>
        <v>150000</v>
      </c>
      <c r="D140" s="373" t="e">
        <f t="shared" si="148"/>
        <v>#DIV/0!</v>
      </c>
      <c r="E140" s="374">
        <f>$AM96/$G$96</f>
        <v>0</v>
      </c>
      <c r="F140" s="374">
        <f t="shared" si="149"/>
        <v>0</v>
      </c>
      <c r="G140" s="374">
        <f t="shared" si="150"/>
        <v>0.5</v>
      </c>
      <c r="H140" s="374">
        <f t="shared" si="151"/>
        <v>1</v>
      </c>
      <c r="I140" s="374">
        <f t="shared" si="152"/>
        <v>1</v>
      </c>
      <c r="J140" s="374">
        <f t="shared" si="153"/>
        <v>1</v>
      </c>
      <c r="K140" s="374">
        <f t="shared" si="160"/>
        <v>1</v>
      </c>
      <c r="L140" s="374" t="e">
        <f t="shared" si="154"/>
        <v>#N/A</v>
      </c>
      <c r="M140" s="374" t="str">
        <f t="shared" si="155"/>
        <v>NA</v>
      </c>
      <c r="N140" s="374" t="str">
        <f t="shared" si="156"/>
        <v>NA</v>
      </c>
      <c r="O140" s="374" t="e">
        <f t="shared" si="157"/>
        <v>#N/A</v>
      </c>
      <c r="P140" s="374" t="e">
        <f t="shared" si="158"/>
        <v>#N/A</v>
      </c>
      <c r="Q140" s="375">
        <v>13</v>
      </c>
      <c r="R140" s="369" t="e">
        <f t="shared" si="159"/>
        <v>#N/A</v>
      </c>
      <c r="S140" s="376"/>
      <c r="T140" s="376"/>
      <c r="U140" s="376"/>
      <c r="V140" s="376"/>
      <c r="W140" s="376"/>
      <c r="X140" s="376"/>
      <c r="Y140" s="376"/>
      <c r="Z140" s="376"/>
      <c r="AA140" s="376"/>
      <c r="AB140" s="376"/>
      <c r="AC140" s="376"/>
    </row>
    <row r="141" spans="1:29" x14ac:dyDescent="0.2">
      <c r="A141" s="187" t="s">
        <v>60</v>
      </c>
      <c r="B141" s="368" t="e">
        <f>U102</f>
        <v>#N/A</v>
      </c>
      <c r="C141" s="373">
        <f>U96</f>
        <v>150000</v>
      </c>
      <c r="D141" s="373" t="e">
        <f t="shared" si="148"/>
        <v>#DIV/0!</v>
      </c>
      <c r="E141" s="374">
        <f>$AN96/$G$96</f>
        <v>0</v>
      </c>
      <c r="F141" s="374">
        <f t="shared" si="149"/>
        <v>0</v>
      </c>
      <c r="G141" s="374">
        <f t="shared" si="150"/>
        <v>0.5</v>
      </c>
      <c r="H141" s="374">
        <f t="shared" si="151"/>
        <v>1</v>
      </c>
      <c r="I141" s="374">
        <f t="shared" si="152"/>
        <v>1</v>
      </c>
      <c r="J141" s="374">
        <f t="shared" si="153"/>
        <v>0.88000000000000012</v>
      </c>
      <c r="K141" s="374">
        <f t="shared" si="160"/>
        <v>1</v>
      </c>
      <c r="L141" s="374" t="e">
        <f t="shared" si="154"/>
        <v>#N/A</v>
      </c>
      <c r="M141" s="374" t="str">
        <f t="shared" si="155"/>
        <v>NA</v>
      </c>
      <c r="N141" s="374" t="str">
        <f t="shared" si="156"/>
        <v>NA</v>
      </c>
      <c r="O141" s="374" t="e">
        <f t="shared" si="157"/>
        <v>#N/A</v>
      </c>
      <c r="P141" s="374" t="e">
        <f t="shared" si="158"/>
        <v>#N/A</v>
      </c>
      <c r="Q141" s="377">
        <v>14</v>
      </c>
      <c r="R141" s="369" t="e">
        <f t="shared" si="159"/>
        <v>#N/A</v>
      </c>
      <c r="S141" s="376"/>
      <c r="T141" s="376"/>
      <c r="U141" s="376"/>
      <c r="V141" s="376"/>
      <c r="W141" s="376"/>
      <c r="X141" s="376"/>
      <c r="Y141" s="376"/>
      <c r="Z141" s="376"/>
      <c r="AA141" s="376"/>
      <c r="AB141" s="376"/>
      <c r="AC141" s="376"/>
    </row>
    <row r="142" spans="1:29" x14ac:dyDescent="0.2">
      <c r="A142" s="187" t="s">
        <v>219</v>
      </c>
      <c r="B142" s="368" t="e">
        <f>V102</f>
        <v>#N/A</v>
      </c>
      <c r="C142" s="373">
        <f>V96</f>
        <v>0</v>
      </c>
      <c r="D142" s="373" t="e">
        <f t="shared" si="148"/>
        <v>#DIV/0!</v>
      </c>
      <c r="E142" s="374">
        <f>$AO96/$G$96</f>
        <v>1</v>
      </c>
      <c r="F142" s="374">
        <f t="shared" si="149"/>
        <v>1</v>
      </c>
      <c r="G142" s="374">
        <f t="shared" si="150"/>
        <v>1</v>
      </c>
      <c r="H142" s="374">
        <f t="shared" si="151"/>
        <v>1</v>
      </c>
      <c r="I142" s="374">
        <f t="shared" si="152"/>
        <v>1</v>
      </c>
      <c r="J142" s="374">
        <f t="shared" si="153"/>
        <v>0.88000000000000012</v>
      </c>
      <c r="K142" s="374">
        <f t="shared" si="160"/>
        <v>1</v>
      </c>
      <c r="L142" s="374" t="e">
        <f t="shared" si="154"/>
        <v>#N/A</v>
      </c>
      <c r="M142" s="374" t="str">
        <f t="shared" si="155"/>
        <v>NA</v>
      </c>
      <c r="N142" s="374" t="str">
        <f t="shared" si="156"/>
        <v>NA</v>
      </c>
      <c r="O142" s="374" t="e">
        <f t="shared" si="157"/>
        <v>#N/A</v>
      </c>
      <c r="P142" s="374" t="e">
        <f t="shared" si="158"/>
        <v>#N/A</v>
      </c>
      <c r="Q142" s="377">
        <v>15</v>
      </c>
      <c r="R142" s="369" t="e">
        <f t="shared" si="159"/>
        <v>#N/A</v>
      </c>
      <c r="S142" s="376"/>
      <c r="T142" s="376"/>
      <c r="U142" s="376"/>
      <c r="V142" s="376"/>
      <c r="W142" s="376"/>
      <c r="X142" s="376"/>
      <c r="Y142" s="376"/>
      <c r="Z142" s="376"/>
      <c r="AA142" s="376"/>
      <c r="AB142" s="376"/>
      <c r="AC142" s="376"/>
    </row>
    <row r="143" spans="1:29" x14ac:dyDescent="0.2">
      <c r="A143" s="187" t="s">
        <v>61</v>
      </c>
      <c r="B143" s="368" t="e">
        <f>W102</f>
        <v>#N/A</v>
      </c>
      <c r="C143" s="373">
        <f>W96</f>
        <v>0</v>
      </c>
      <c r="D143" s="373" t="e">
        <f t="shared" si="148"/>
        <v>#DIV/0!</v>
      </c>
      <c r="E143" s="374">
        <f>$AP96/$G$96</f>
        <v>1</v>
      </c>
      <c r="F143" s="374">
        <f t="shared" si="149"/>
        <v>1</v>
      </c>
      <c r="G143" s="374">
        <f t="shared" si="150"/>
        <v>1</v>
      </c>
      <c r="H143" s="374">
        <f t="shared" si="151"/>
        <v>1</v>
      </c>
      <c r="I143" s="374">
        <f t="shared" si="152"/>
        <v>0.7</v>
      </c>
      <c r="J143" s="374">
        <f t="shared" si="153"/>
        <v>0.88000000000000012</v>
      </c>
      <c r="K143" s="374">
        <f t="shared" si="160"/>
        <v>1</v>
      </c>
      <c r="L143" s="374" t="e">
        <f t="shared" si="154"/>
        <v>#N/A</v>
      </c>
      <c r="M143" s="374" t="str">
        <f t="shared" si="155"/>
        <v>NA</v>
      </c>
      <c r="N143" s="374" t="str">
        <f t="shared" si="156"/>
        <v>NA</v>
      </c>
      <c r="O143" s="374" t="e">
        <f t="shared" si="157"/>
        <v>#N/A</v>
      </c>
      <c r="P143" s="374" t="e">
        <f t="shared" si="158"/>
        <v>#N/A</v>
      </c>
      <c r="Q143" s="377">
        <v>16</v>
      </c>
      <c r="R143" s="369" t="e">
        <f t="shared" si="159"/>
        <v>#N/A</v>
      </c>
      <c r="S143" s="376"/>
      <c r="T143" s="376"/>
      <c r="U143" s="376"/>
      <c r="V143" s="376"/>
      <c r="W143" s="376"/>
      <c r="X143" s="376"/>
      <c r="Y143" s="376"/>
      <c r="Z143" s="376"/>
      <c r="AA143" s="376"/>
      <c r="AB143" s="376"/>
      <c r="AC143" s="376"/>
    </row>
    <row r="144" spans="1:29" x14ac:dyDescent="0.2">
      <c r="A144" s="187" t="s">
        <v>165</v>
      </c>
      <c r="B144" s="368" t="e">
        <f>X102</f>
        <v>#N/A</v>
      </c>
      <c r="C144" s="373">
        <f>X96</f>
        <v>0</v>
      </c>
      <c r="D144" s="373" t="e">
        <f t="shared" si="148"/>
        <v>#DIV/0!</v>
      </c>
      <c r="E144" s="374">
        <f>$AQ96/$G$96</f>
        <v>1</v>
      </c>
      <c r="F144" s="374">
        <f t="shared" si="149"/>
        <v>1</v>
      </c>
      <c r="G144" s="374">
        <f t="shared" si="150"/>
        <v>1</v>
      </c>
      <c r="H144" s="374">
        <f t="shared" si="151"/>
        <v>1</v>
      </c>
      <c r="I144" s="374">
        <f t="shared" si="152"/>
        <v>0.7</v>
      </c>
      <c r="J144" s="374">
        <f t="shared" si="153"/>
        <v>0.88000000000000012</v>
      </c>
      <c r="K144" s="374">
        <f t="shared" si="160"/>
        <v>1</v>
      </c>
      <c r="L144" s="374" t="e">
        <f t="shared" si="154"/>
        <v>#N/A</v>
      </c>
      <c r="M144" s="374" t="str">
        <f t="shared" si="155"/>
        <v>NA</v>
      </c>
      <c r="N144" s="374" t="str">
        <f t="shared" si="156"/>
        <v>NA</v>
      </c>
      <c r="O144" s="374" t="e">
        <f t="shared" si="157"/>
        <v>#N/A</v>
      </c>
      <c r="P144" s="374" t="e">
        <f t="shared" si="158"/>
        <v>#N/A</v>
      </c>
      <c r="Q144" s="377">
        <v>17</v>
      </c>
      <c r="R144" s="369" t="e">
        <f t="shared" si="159"/>
        <v>#N/A</v>
      </c>
      <c r="S144" s="376"/>
      <c r="T144" s="376"/>
      <c r="U144" s="376"/>
      <c r="V144" s="376"/>
      <c r="W144" s="376"/>
      <c r="X144" s="376"/>
      <c r="Y144" s="376"/>
      <c r="Z144" s="376"/>
      <c r="AA144" s="376"/>
      <c r="AB144" s="376"/>
      <c r="AC144" s="376"/>
    </row>
    <row r="145" spans="1:33" x14ac:dyDescent="0.2">
      <c r="A145" s="187" t="s">
        <v>62</v>
      </c>
      <c r="B145" s="368" t="e">
        <f>Y102</f>
        <v>#N/A</v>
      </c>
      <c r="C145" s="373">
        <f>Y96</f>
        <v>0</v>
      </c>
      <c r="D145" s="373" t="e">
        <f t="shared" si="148"/>
        <v>#DIV/0!</v>
      </c>
      <c r="E145" s="374">
        <f>$AR96/$G$96</f>
        <v>1</v>
      </c>
      <c r="F145" s="374">
        <f t="shared" si="149"/>
        <v>1</v>
      </c>
      <c r="G145" s="374">
        <f t="shared" si="150"/>
        <v>1</v>
      </c>
      <c r="H145" s="374">
        <f t="shared" si="151"/>
        <v>1</v>
      </c>
      <c r="I145" s="374">
        <f t="shared" si="152"/>
        <v>1</v>
      </c>
      <c r="J145" s="374">
        <f t="shared" si="153"/>
        <v>0.88000000000000012</v>
      </c>
      <c r="K145" s="374">
        <f t="shared" si="160"/>
        <v>1</v>
      </c>
      <c r="L145" s="374" t="e">
        <f t="shared" si="154"/>
        <v>#N/A</v>
      </c>
      <c r="M145" s="374" t="str">
        <f t="shared" si="155"/>
        <v>NA</v>
      </c>
      <c r="N145" s="374" t="str">
        <f t="shared" si="156"/>
        <v>NA</v>
      </c>
      <c r="O145" s="374" t="e">
        <f t="shared" si="157"/>
        <v>#N/A</v>
      </c>
      <c r="P145" s="374" t="e">
        <f t="shared" si="158"/>
        <v>#N/A</v>
      </c>
      <c r="Q145" s="377">
        <v>18</v>
      </c>
      <c r="R145" s="369" t="e">
        <f t="shared" si="159"/>
        <v>#N/A</v>
      </c>
      <c r="S145" s="376"/>
      <c r="T145" s="376"/>
      <c r="U145" s="376"/>
      <c r="V145" s="376"/>
      <c r="W145" s="376"/>
      <c r="X145" s="376"/>
      <c r="Y145" s="376"/>
      <c r="Z145" s="376"/>
      <c r="AA145" s="376"/>
      <c r="AB145" s="376"/>
      <c r="AC145" s="376"/>
    </row>
    <row r="146" spans="1:33" x14ac:dyDescent="0.2">
      <c r="G146" s="378"/>
      <c r="H146" s="378"/>
      <c r="I146" s="374"/>
      <c r="J146" s="374"/>
      <c r="K146" s="378"/>
      <c r="L146" s="378"/>
      <c r="M146" s="378"/>
      <c r="N146" s="378"/>
      <c r="O146" s="378"/>
      <c r="P146" s="377"/>
      <c r="Q146" s="378"/>
      <c r="S146" s="378"/>
      <c r="T146" s="378"/>
      <c r="V146" s="379"/>
      <c r="W146" s="379"/>
      <c r="X146" s="379"/>
      <c r="Y146" s="379"/>
      <c r="Z146" s="379"/>
      <c r="AA146" s="379"/>
      <c r="AB146" s="379"/>
      <c r="AC146" s="379"/>
      <c r="AD146" s="379"/>
      <c r="AE146" s="379"/>
      <c r="AF146" s="379"/>
      <c r="AG146" s="379"/>
    </row>
    <row r="147" spans="1:33" x14ac:dyDescent="0.2">
      <c r="C147" s="147"/>
    </row>
    <row r="148" spans="1:33" x14ac:dyDescent="0.2">
      <c r="C148" s="147"/>
      <c r="E148" s="374"/>
      <c r="F148" s="374"/>
      <c r="G148" s="374"/>
      <c r="H148" s="374"/>
      <c r="I148" s="374"/>
      <c r="J148" s="374"/>
      <c r="K148" s="374"/>
      <c r="L148" s="374"/>
      <c r="M148" s="374"/>
      <c r="N148" s="374"/>
      <c r="O148" s="374"/>
      <c r="P148" s="374"/>
      <c r="Q148" s="374"/>
      <c r="R148" s="374"/>
      <c r="S148" s="374"/>
    </row>
    <row r="149" spans="1:33" x14ac:dyDescent="0.2">
      <c r="C149" s="147"/>
      <c r="E149" s="374"/>
      <c r="F149" s="374"/>
      <c r="G149" s="374"/>
      <c r="H149" s="374"/>
      <c r="I149" s="374"/>
      <c r="J149" s="374"/>
      <c r="K149" s="374"/>
      <c r="L149" s="374"/>
      <c r="M149" s="374"/>
      <c r="N149" s="374"/>
      <c r="O149" s="374"/>
      <c r="P149" s="374"/>
      <c r="Q149" s="374"/>
      <c r="R149" s="374"/>
      <c r="S149" s="374"/>
    </row>
    <row r="150" spans="1:33" x14ac:dyDescent="0.2">
      <c r="E150" s="374"/>
      <c r="F150" s="374"/>
      <c r="G150" s="374"/>
      <c r="H150" s="374"/>
      <c r="I150" s="374"/>
      <c r="J150" s="374"/>
      <c r="K150" s="374"/>
      <c r="L150" s="374"/>
      <c r="M150" s="374"/>
      <c r="N150" s="374"/>
      <c r="O150" s="374"/>
      <c r="P150" s="374"/>
      <c r="Q150" s="374"/>
      <c r="R150" s="374"/>
      <c r="S150" s="374"/>
    </row>
    <row r="151" spans="1:33" x14ac:dyDescent="0.2">
      <c r="E151" s="374"/>
      <c r="F151" s="374"/>
      <c r="G151" s="374"/>
      <c r="H151" s="374"/>
      <c r="I151" s="374"/>
      <c r="J151" s="374"/>
      <c r="K151" s="374"/>
      <c r="L151" s="374"/>
      <c r="M151" s="374"/>
      <c r="N151" s="374"/>
      <c r="O151" s="374"/>
      <c r="P151" s="374"/>
      <c r="Q151" s="374"/>
      <c r="R151" s="374"/>
      <c r="S151" s="374"/>
    </row>
    <row r="152" spans="1:33" x14ac:dyDescent="0.2">
      <c r="E152" s="374"/>
      <c r="F152" s="374"/>
      <c r="G152" s="374"/>
      <c r="H152" s="374"/>
      <c r="I152" s="374"/>
      <c r="J152" s="374"/>
      <c r="K152" s="374"/>
      <c r="L152" s="374"/>
      <c r="M152" s="374"/>
      <c r="N152" s="374"/>
      <c r="O152" s="374"/>
      <c r="P152" s="374"/>
      <c r="Q152" s="374"/>
      <c r="R152" s="374"/>
      <c r="S152" s="374"/>
    </row>
    <row r="153" spans="1:33" x14ac:dyDescent="0.2">
      <c r="E153" s="374"/>
      <c r="F153" s="374"/>
      <c r="G153" s="374"/>
      <c r="H153" s="374"/>
      <c r="I153" s="374"/>
      <c r="J153" s="374"/>
      <c r="K153" s="374"/>
      <c r="L153" s="374"/>
      <c r="M153" s="374"/>
      <c r="N153" s="374"/>
      <c r="O153" s="374"/>
      <c r="P153" s="374"/>
      <c r="Q153" s="374"/>
      <c r="R153" s="374"/>
      <c r="S153" s="374"/>
    </row>
    <row r="154" spans="1:33" x14ac:dyDescent="0.2">
      <c r="E154" s="374"/>
      <c r="F154" s="374"/>
      <c r="G154" s="374"/>
      <c r="H154" s="374"/>
      <c r="I154" s="374"/>
      <c r="J154" s="374"/>
      <c r="K154" s="374"/>
      <c r="L154" s="374"/>
      <c r="M154" s="374"/>
      <c r="N154" s="374"/>
      <c r="O154" s="374"/>
      <c r="P154" s="374"/>
      <c r="Q154" s="374"/>
      <c r="R154" s="374"/>
      <c r="S154" s="374"/>
    </row>
    <row r="155" spans="1:33" x14ac:dyDescent="0.2">
      <c r="E155" s="374"/>
      <c r="F155" s="374"/>
      <c r="G155" s="374"/>
      <c r="H155" s="374"/>
      <c r="I155" s="374"/>
      <c r="J155" s="374"/>
      <c r="K155" s="374"/>
      <c r="L155" s="374"/>
      <c r="M155" s="374"/>
      <c r="N155" s="374"/>
      <c r="O155" s="374"/>
      <c r="P155" s="374"/>
      <c r="Q155" s="374"/>
      <c r="R155" s="374"/>
      <c r="S155" s="374"/>
    </row>
    <row r="156" spans="1:33" x14ac:dyDescent="0.2">
      <c r="E156" s="374"/>
      <c r="F156" s="374"/>
      <c r="G156" s="374"/>
      <c r="H156" s="374"/>
      <c r="I156" s="374"/>
      <c r="J156" s="374"/>
      <c r="K156" s="374"/>
      <c r="L156" s="374"/>
      <c r="M156" s="374"/>
      <c r="N156" s="374"/>
      <c r="O156" s="374"/>
      <c r="P156" s="374"/>
      <c r="Q156" s="374"/>
      <c r="R156" s="374"/>
      <c r="S156" s="374"/>
    </row>
    <row r="157" spans="1:33" x14ac:dyDescent="0.2">
      <c r="E157" s="374"/>
      <c r="F157" s="374"/>
      <c r="G157" s="374"/>
      <c r="H157" s="374"/>
      <c r="I157" s="374"/>
      <c r="J157" s="374"/>
      <c r="K157" s="374"/>
      <c r="L157" s="374"/>
      <c r="M157" s="374"/>
      <c r="N157" s="374"/>
      <c r="O157" s="374"/>
      <c r="P157" s="374"/>
      <c r="Q157" s="374"/>
      <c r="R157" s="374"/>
      <c r="S157" s="374"/>
    </row>
    <row r="158" spans="1:33" x14ac:dyDescent="0.2">
      <c r="E158" s="374"/>
      <c r="F158" s="374"/>
      <c r="G158" s="374"/>
      <c r="H158" s="374"/>
      <c r="I158" s="374"/>
      <c r="J158" s="374"/>
      <c r="K158" s="374"/>
      <c r="L158" s="374"/>
      <c r="M158" s="374"/>
      <c r="N158" s="374"/>
      <c r="O158" s="374"/>
      <c r="P158" s="374"/>
      <c r="Q158" s="374"/>
      <c r="R158" s="374"/>
      <c r="S158" s="374"/>
    </row>
    <row r="159" spans="1:33" x14ac:dyDescent="0.2">
      <c r="E159" s="374"/>
      <c r="F159" s="374"/>
      <c r="G159" s="374"/>
      <c r="H159" s="374"/>
      <c r="I159" s="374"/>
      <c r="J159" s="374"/>
      <c r="K159" s="374"/>
      <c r="L159" s="374"/>
      <c r="M159" s="374"/>
      <c r="N159" s="374"/>
      <c r="O159" s="374"/>
      <c r="P159" s="374"/>
      <c r="Q159" s="374"/>
      <c r="R159" s="374"/>
      <c r="S159" s="374"/>
    </row>
    <row r="160" spans="1:33" x14ac:dyDescent="0.2">
      <c r="E160" s="374"/>
      <c r="F160" s="374"/>
      <c r="G160" s="374"/>
      <c r="H160" s="374"/>
      <c r="I160" s="374"/>
      <c r="J160" s="374"/>
      <c r="K160" s="374"/>
      <c r="L160" s="374"/>
      <c r="M160" s="374"/>
      <c r="N160" s="374"/>
      <c r="O160" s="374"/>
      <c r="P160" s="374"/>
      <c r="Q160" s="374"/>
      <c r="R160" s="374"/>
      <c r="S160" s="374"/>
    </row>
    <row r="161" spans="5:19" x14ac:dyDescent="0.2">
      <c r="E161" s="374"/>
      <c r="F161" s="374"/>
      <c r="G161" s="374"/>
      <c r="H161" s="374"/>
      <c r="I161" s="374"/>
      <c r="J161" s="374"/>
      <c r="K161" s="374"/>
      <c r="L161" s="374"/>
      <c r="M161" s="374"/>
      <c r="N161" s="374"/>
      <c r="O161" s="374"/>
      <c r="P161" s="374"/>
      <c r="Q161" s="374"/>
      <c r="R161" s="374"/>
      <c r="S161" s="374"/>
    </row>
  </sheetData>
  <mergeCells count="7">
    <mergeCell ref="C88:C90"/>
    <mergeCell ref="D88:F89"/>
    <mergeCell ref="D93:F94"/>
    <mergeCell ref="C93:C95"/>
    <mergeCell ref="A108:C108"/>
    <mergeCell ref="A100:Y100"/>
    <mergeCell ref="A102:C10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N30"/>
  <sheetViews>
    <sheetView workbookViewId="0">
      <selection activeCell="C15" sqref="C15"/>
    </sheetView>
  </sheetViews>
  <sheetFormatPr baseColWidth="10" defaultRowHeight="16" x14ac:dyDescent="0.2"/>
  <cols>
    <col min="1" max="1" width="30" style="380" bestFit="1" customWidth="1"/>
    <col min="2" max="2" width="13.5" style="380" bestFit="1" customWidth="1"/>
    <col min="3" max="3" width="10.83203125" style="380"/>
    <col min="4" max="4" width="30" style="380" bestFit="1" customWidth="1"/>
    <col min="5" max="5" width="13" style="380" bestFit="1" customWidth="1"/>
    <col min="6" max="6" width="10.83203125" style="380"/>
    <col min="7" max="7" width="30" style="380" bestFit="1" customWidth="1"/>
    <col min="8" max="8" width="13.83203125" style="380" bestFit="1" customWidth="1"/>
    <col min="9" max="9" width="10.83203125" style="380"/>
    <col min="10" max="10" width="30" style="380" bestFit="1" customWidth="1"/>
    <col min="11" max="11" width="29.33203125" style="380" bestFit="1" customWidth="1"/>
    <col min="12" max="12" width="10.83203125" style="380"/>
    <col min="13" max="13" width="30" style="380" bestFit="1" customWidth="1"/>
    <col min="14" max="14" width="28.5" style="380" bestFit="1" customWidth="1"/>
    <col min="15" max="16384" width="10.83203125" style="380"/>
  </cols>
  <sheetData>
    <row r="1" spans="1:14" x14ac:dyDescent="0.2">
      <c r="A1" s="380" t="s">
        <v>2</v>
      </c>
      <c r="D1" s="380" t="s">
        <v>3</v>
      </c>
      <c r="G1" s="380" t="s">
        <v>4</v>
      </c>
      <c r="J1" s="380" t="s">
        <v>5</v>
      </c>
      <c r="M1" s="380" t="s">
        <v>148</v>
      </c>
    </row>
    <row r="2" spans="1:14" x14ac:dyDescent="0.2">
      <c r="A2" s="381" t="s">
        <v>108</v>
      </c>
      <c r="B2" s="380" t="s">
        <v>189</v>
      </c>
      <c r="D2" s="381" t="s">
        <v>108</v>
      </c>
      <c r="E2" s="380" t="s">
        <v>189</v>
      </c>
      <c r="G2" s="381" t="s">
        <v>108</v>
      </c>
      <c r="H2" s="380" t="s">
        <v>189</v>
      </c>
      <c r="J2" s="381" t="s">
        <v>108</v>
      </c>
      <c r="K2" s="380" t="s">
        <v>189</v>
      </c>
      <c r="M2" s="381" t="s">
        <v>108</v>
      </c>
      <c r="N2" s="380" t="s">
        <v>189</v>
      </c>
    </row>
    <row r="3" spans="1:14" x14ac:dyDescent="0.2">
      <c r="B3" s="380" t="s">
        <v>18</v>
      </c>
      <c r="E3" s="380" t="s">
        <v>18</v>
      </c>
      <c r="H3" s="380" t="s">
        <v>24</v>
      </c>
      <c r="J3" s="381"/>
      <c r="K3" s="380" t="s">
        <v>31</v>
      </c>
      <c r="N3" s="380" t="s">
        <v>40</v>
      </c>
    </row>
    <row r="4" spans="1:14" x14ac:dyDescent="0.2">
      <c r="A4" s="381"/>
      <c r="B4" s="382" t="s">
        <v>11</v>
      </c>
      <c r="D4" s="381"/>
      <c r="E4" s="382" t="s">
        <v>155</v>
      </c>
      <c r="G4" s="381"/>
      <c r="H4" s="380" t="s">
        <v>25</v>
      </c>
      <c r="J4" s="381" t="s">
        <v>109</v>
      </c>
      <c r="K4" s="380" t="s">
        <v>189</v>
      </c>
      <c r="N4" s="380" t="s">
        <v>41</v>
      </c>
    </row>
    <row r="5" spans="1:14" x14ac:dyDescent="0.2">
      <c r="A5" s="381"/>
      <c r="B5" s="382" t="s">
        <v>12</v>
      </c>
      <c r="D5" s="381"/>
      <c r="E5" s="382" t="s">
        <v>156</v>
      </c>
      <c r="G5" s="381"/>
      <c r="H5" s="380" t="s">
        <v>26</v>
      </c>
      <c r="K5" s="380" t="s">
        <v>31</v>
      </c>
      <c r="N5" s="380" t="s">
        <v>42</v>
      </c>
    </row>
    <row r="6" spans="1:14" x14ac:dyDescent="0.2">
      <c r="A6" s="381"/>
      <c r="B6" s="380" t="s">
        <v>13</v>
      </c>
      <c r="E6" s="382" t="s">
        <v>157</v>
      </c>
      <c r="G6" s="381" t="s">
        <v>109</v>
      </c>
      <c r="H6" s="380" t="s">
        <v>189</v>
      </c>
      <c r="J6" s="381" t="s">
        <v>110</v>
      </c>
      <c r="K6" s="380" t="s">
        <v>189</v>
      </c>
      <c r="N6" s="380" t="s">
        <v>43</v>
      </c>
    </row>
    <row r="7" spans="1:14" x14ac:dyDescent="0.2">
      <c r="B7" s="380" t="s">
        <v>14</v>
      </c>
      <c r="D7" s="381" t="s">
        <v>109</v>
      </c>
      <c r="E7" s="380" t="s">
        <v>189</v>
      </c>
      <c r="H7" s="380" t="s">
        <v>24</v>
      </c>
      <c r="I7" s="381"/>
      <c r="K7" s="382" t="s">
        <v>35</v>
      </c>
      <c r="N7" s="381" t="s">
        <v>44</v>
      </c>
    </row>
    <row r="8" spans="1:14" x14ac:dyDescent="0.2">
      <c r="A8" s="381" t="s">
        <v>109</v>
      </c>
      <c r="B8" s="380" t="s">
        <v>189</v>
      </c>
      <c r="E8" s="380" t="s">
        <v>18</v>
      </c>
      <c r="H8" s="382" t="s">
        <v>25</v>
      </c>
      <c r="I8" s="382"/>
      <c r="K8" s="382" t="s">
        <v>36</v>
      </c>
      <c r="M8" s="381" t="s">
        <v>109</v>
      </c>
      <c r="N8" s="380" t="s">
        <v>189</v>
      </c>
    </row>
    <row r="9" spans="1:14" x14ac:dyDescent="0.2">
      <c r="B9" s="380" t="s">
        <v>18</v>
      </c>
      <c r="E9" s="382" t="s">
        <v>155</v>
      </c>
      <c r="H9" s="382" t="s">
        <v>26</v>
      </c>
      <c r="I9" s="382"/>
      <c r="K9" s="382" t="s">
        <v>37</v>
      </c>
      <c r="N9" s="380" t="s">
        <v>40</v>
      </c>
    </row>
    <row r="10" spans="1:14" x14ac:dyDescent="0.2">
      <c r="B10" s="380" t="s">
        <v>13</v>
      </c>
      <c r="E10" s="382" t="s">
        <v>156</v>
      </c>
      <c r="H10" s="382" t="s">
        <v>27</v>
      </c>
      <c r="I10" s="382"/>
      <c r="K10" s="382" t="s">
        <v>38</v>
      </c>
      <c r="N10" s="380" t="s">
        <v>41</v>
      </c>
    </row>
    <row r="11" spans="1:14" x14ac:dyDescent="0.2">
      <c r="B11" s="380" t="s">
        <v>14</v>
      </c>
      <c r="E11" s="382" t="s">
        <v>157</v>
      </c>
      <c r="H11" s="382" t="s">
        <v>28</v>
      </c>
      <c r="I11" s="382"/>
      <c r="K11" s="382" t="s">
        <v>39</v>
      </c>
      <c r="N11" s="380" t="s">
        <v>42</v>
      </c>
    </row>
    <row r="12" spans="1:14" x14ac:dyDescent="0.2">
      <c r="B12" s="380" t="s">
        <v>15</v>
      </c>
      <c r="E12" s="382" t="s">
        <v>158</v>
      </c>
      <c r="G12" s="381" t="s">
        <v>110</v>
      </c>
      <c r="H12" s="380" t="s">
        <v>189</v>
      </c>
      <c r="I12" s="382"/>
      <c r="N12" s="380" t="s">
        <v>43</v>
      </c>
    </row>
    <row r="13" spans="1:14" x14ac:dyDescent="0.2">
      <c r="B13" s="380" t="s">
        <v>16</v>
      </c>
      <c r="E13" s="382" t="s">
        <v>21</v>
      </c>
      <c r="H13" s="382" t="s">
        <v>26</v>
      </c>
      <c r="I13" s="382"/>
      <c r="K13" s="381"/>
      <c r="L13" s="381"/>
      <c r="N13" s="381" t="s">
        <v>44</v>
      </c>
    </row>
    <row r="14" spans="1:14" x14ac:dyDescent="0.2">
      <c r="A14" s="381" t="s">
        <v>110</v>
      </c>
      <c r="B14" s="380" t="s">
        <v>189</v>
      </c>
      <c r="E14" s="382" t="s">
        <v>20</v>
      </c>
      <c r="H14" s="382" t="s">
        <v>27</v>
      </c>
      <c r="I14" s="382"/>
      <c r="J14" s="381"/>
      <c r="K14" s="382"/>
      <c r="L14" s="381"/>
      <c r="M14" s="381" t="s">
        <v>110</v>
      </c>
      <c r="N14" s="380" t="s">
        <v>189</v>
      </c>
    </row>
    <row r="15" spans="1:14" x14ac:dyDescent="0.2">
      <c r="B15" s="380" t="s">
        <v>18</v>
      </c>
      <c r="D15" s="381" t="s">
        <v>110</v>
      </c>
      <c r="E15" s="380" t="s">
        <v>189</v>
      </c>
      <c r="H15" s="382" t="s">
        <v>28</v>
      </c>
      <c r="I15" s="382"/>
      <c r="K15" s="382"/>
      <c r="M15" s="381"/>
      <c r="N15" s="380" t="s">
        <v>40</v>
      </c>
    </row>
    <row r="16" spans="1:14" x14ac:dyDescent="0.2">
      <c r="B16" s="380" t="s">
        <v>13</v>
      </c>
      <c r="E16" s="380" t="s">
        <v>18</v>
      </c>
      <c r="H16" s="382" t="s">
        <v>29</v>
      </c>
      <c r="I16" s="382"/>
      <c r="K16" s="382"/>
      <c r="N16" s="380" t="s">
        <v>41</v>
      </c>
    </row>
    <row r="17" spans="1:11" x14ac:dyDescent="0.2">
      <c r="B17" s="380" t="s">
        <v>14</v>
      </c>
      <c r="D17" s="381"/>
      <c r="E17" s="382" t="s">
        <v>157</v>
      </c>
      <c r="H17" s="382" t="s">
        <v>17</v>
      </c>
      <c r="I17" s="382"/>
      <c r="K17" s="382"/>
    </row>
    <row r="18" spans="1:11" x14ac:dyDescent="0.2">
      <c r="B18" s="380" t="s">
        <v>15</v>
      </c>
      <c r="E18" s="382" t="s">
        <v>158</v>
      </c>
      <c r="K18" s="382"/>
    </row>
    <row r="19" spans="1:11" x14ac:dyDescent="0.2">
      <c r="E19" s="382" t="s">
        <v>21</v>
      </c>
      <c r="K19" s="382"/>
    </row>
    <row r="20" spans="1:11" x14ac:dyDescent="0.2">
      <c r="E20" s="382" t="s">
        <v>20</v>
      </c>
      <c r="K20" s="382"/>
    </row>
    <row r="21" spans="1:11" x14ac:dyDescent="0.2">
      <c r="E21" s="382" t="s">
        <v>19</v>
      </c>
      <c r="K21" s="382"/>
    </row>
    <row r="22" spans="1:11" x14ac:dyDescent="0.2">
      <c r="E22" s="382" t="s">
        <v>17</v>
      </c>
      <c r="K22" s="382"/>
    </row>
    <row r="23" spans="1:11" x14ac:dyDescent="0.2">
      <c r="K23" s="382"/>
    </row>
    <row r="24" spans="1:11" x14ac:dyDescent="0.2">
      <c r="A24" s="383" t="s">
        <v>72</v>
      </c>
      <c r="B24" s="383"/>
      <c r="C24" s="383"/>
      <c r="D24" s="383" t="s">
        <v>86</v>
      </c>
      <c r="E24" s="383"/>
    </row>
    <row r="25" spans="1:11" x14ac:dyDescent="0.2">
      <c r="A25" s="380" t="s">
        <v>189</v>
      </c>
      <c r="C25" s="383"/>
      <c r="D25" s="380" t="s">
        <v>189</v>
      </c>
    </row>
    <row r="26" spans="1:11" x14ac:dyDescent="0.2">
      <c r="A26" s="383" t="s">
        <v>199</v>
      </c>
      <c r="B26" s="383">
        <v>1</v>
      </c>
      <c r="C26" s="383"/>
      <c r="D26" s="383" t="s">
        <v>210</v>
      </c>
      <c r="E26" s="384">
        <v>0</v>
      </c>
    </row>
    <row r="27" spans="1:11" x14ac:dyDescent="0.2">
      <c r="A27" s="383" t="s">
        <v>209</v>
      </c>
      <c r="B27" s="383">
        <v>5</v>
      </c>
      <c r="C27" s="383"/>
      <c r="D27" s="383" t="s">
        <v>211</v>
      </c>
      <c r="E27" s="384">
        <v>0.25</v>
      </c>
    </row>
    <row r="28" spans="1:11" x14ac:dyDescent="0.2">
      <c r="A28" s="383" t="s">
        <v>200</v>
      </c>
      <c r="B28" s="383">
        <v>9</v>
      </c>
      <c r="C28" s="383"/>
      <c r="D28" s="383" t="s">
        <v>212</v>
      </c>
      <c r="E28" s="384">
        <v>0.5</v>
      </c>
    </row>
    <row r="29" spans="1:11" x14ac:dyDescent="0.2">
      <c r="C29" s="383"/>
      <c r="D29" s="383" t="s">
        <v>213</v>
      </c>
      <c r="E29" s="384">
        <v>0.75</v>
      </c>
    </row>
    <row r="30" spans="1:11" x14ac:dyDescent="0.2">
      <c r="A30" s="383"/>
      <c r="B30" s="383"/>
      <c r="D30" s="383"/>
      <c r="E30" s="3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Introduction &amp; Information</vt:lpstr>
      <vt:lpstr>Data Input</vt:lpstr>
      <vt:lpstr>Results</vt:lpstr>
      <vt:lpstr>Summary</vt:lpstr>
      <vt:lpstr>Data Table</vt:lpstr>
      <vt:lpstr>Calculation Table</vt:lpstr>
      <vt:lpstr>Dropdowns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 Fleming</dc:creator>
  <cp:lastModifiedBy>Sam Fleming</cp:lastModifiedBy>
  <dcterms:created xsi:type="dcterms:W3CDTF">2016-10-05T09:57:25Z</dcterms:created>
  <dcterms:modified xsi:type="dcterms:W3CDTF">2017-03-27T10:58:23Z</dcterms:modified>
</cp:coreProperties>
</file>